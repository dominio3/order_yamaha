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eva Logistics\Desktop\Order\"/>
    </mc:Choice>
  </mc:AlternateContent>
  <xr:revisionPtr revIDLastSave="0" documentId="13_ncr:1_{074AC898-350E-4134-AC44-A9AFEFF7AC56}" xr6:coauthVersionLast="40" xr6:coauthVersionMax="40" xr10:uidLastSave="{00000000-0000-0000-0000-000000000000}"/>
  <bookViews>
    <workbookView xWindow="0" yWindow="0" windowWidth="28800" windowHeight="11730" tabRatio="416" firstSheet="1" activeTab="2" xr2:uid="{00000000-000D-0000-FFFF-FFFF00000000}"/>
  </bookViews>
  <sheets>
    <sheet name="SALIDAS" sheetId="4" state="hidden" r:id="rId1"/>
    <sheet name="Salida" sheetId="8" r:id="rId2"/>
    <sheet name="OrderHeader" sheetId="12" r:id="rId3"/>
    <sheet name="OrderLine" sheetId="13" r:id="rId4"/>
    <sheet name="Clientes" sheetId="10" r:id="rId5"/>
  </sheets>
  <definedNames>
    <definedName name="_xlnm._FilterDatabase" localSheetId="1" hidden="1">Salida!$A$4:$L$4</definedName>
    <definedName name="_xlnm._FilterDatabase" localSheetId="0" hidden="1">SALIDAS!$A$1:$H$88</definedName>
    <definedName name="pedidos_3_de_julio" localSheetId="1">Salida!#REF!</definedName>
    <definedName name="pedidos_3_de_julio_1" localSheetId="1">Salida!#REF!</definedName>
    <definedName name="pedidos_3_de_julio_2" localSheetId="1">Salida!$A$5:$J$5</definedName>
    <definedName name="Z_73E51341_71DF_40F5_871E_A9521C1C0B01_.wvu.FilterData" localSheetId="0" hidden="1">SALIDAS!$A$1:$H$88</definedName>
  </definedNames>
  <calcPr calcId="191029"/>
  <customWorkbookViews>
    <customWorkbookView name="Logullo, Pablo - Vista personalizada" guid="{73E51341-71DF-40F5-871E-A9521C1C0B01}" mergeInterval="0" personalView="1" maximized="1" windowWidth="1362" windowHeight="553" tabRatio="259" activeSheetId="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" i="8" l="1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L1" i="8"/>
  <c r="L5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6" i="8"/>
  <c r="K5" i="8"/>
  <c r="L2" i="8" l="1"/>
  <c r="L3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edidos 3 de julio" type="6" refreshedVersion="4" background="1" saveData="1">
    <textPr codePage="932" sourceFile="C:\Users\lousadal\Documents\yamaha\PEDIDOS YAMAHA\reserva 12917 piano de cola.txt" delimited="0" thousands="." space="1" consecutive="1">
      <textFields count="10">
        <textField/>
        <textField position="6"/>
        <textField type="DMY" position="19"/>
        <textField position="29"/>
        <textField position="49"/>
        <textField position="65"/>
        <textField position="71"/>
        <textField position="111"/>
        <textField position="141"/>
        <textField position="166"/>
      </textFields>
    </textPr>
  </connection>
  <connection id="2" xr16:uid="{00000000-0015-0000-FFFF-FFFF01000000}" name="pedidos 3 de julio1" type="6" refreshedVersion="4" background="1" saveData="1">
    <textPr codePage="932" sourceFile="C:\Users\lousadal\Documents\yamaha\PEDIDOS YAMAHA\otro pedido 22 de julio.txt" delimited="0" thousands="." space="1" consecutive="1">
      <textFields count="10">
        <textField/>
        <textField position="6"/>
        <textField type="DMY" position="19"/>
        <textField position="29"/>
        <textField position="49"/>
        <textField position="65"/>
        <textField position="71"/>
        <textField position="111"/>
        <textField position="141"/>
        <textField position="166"/>
      </textFields>
    </textPr>
  </connection>
  <connection id="3" xr16:uid="{00000000-0015-0000-FFFF-FFFF02000000}" name="pedidos 3 de julio2" type="6" refreshedVersion="6" background="1" saveData="1">
    <textPr codePage="932" sourceFile="C:\Users\Ceva Logistics\Desktop\Order\Pedidos\último pedido 27-11.txt" delimited="0" thousands="." space="1" consecutive="1">
      <textFields count="10">
        <textField/>
        <textField position="6"/>
        <textField type="DMY" position="19"/>
        <textField position="29"/>
        <textField position="49"/>
        <textField position="65"/>
        <textField position="71"/>
        <textField position="111"/>
        <textField position="141"/>
        <textField position="166"/>
      </textFields>
    </textPr>
  </connection>
  <connection id="4" xr16:uid="{00000000-0015-0000-FFFF-FFFF03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<sst xmlns="http://schemas.openxmlformats.org/spreadsheetml/2006/main" count="1245" uniqueCount="1202">
  <si>
    <t>Destino</t>
  </si>
  <si>
    <t>Codigo</t>
  </si>
  <si>
    <t>Descripcion</t>
  </si>
  <si>
    <t>UPB</t>
  </si>
  <si>
    <t>Cajas</t>
  </si>
  <si>
    <t>Unidades</t>
  </si>
  <si>
    <t>Prioridad</t>
  </si>
  <si>
    <t>Fecha Entrega</t>
  </si>
  <si>
    <t>Nro Pedido</t>
  </si>
  <si>
    <t>P&amp;P</t>
  </si>
  <si>
    <t>TT5</t>
  </si>
  <si>
    <t>090352</t>
  </si>
  <si>
    <t>090354</t>
  </si>
  <si>
    <t>094030</t>
  </si>
  <si>
    <t>094401</t>
  </si>
  <si>
    <t>RES</t>
  </si>
  <si>
    <t>YAMAHA_CAR</t>
  </si>
  <si>
    <t>CONSUMIDOR FINAL</t>
  </si>
  <si>
    <t>RUSSO FERNANDO</t>
  </si>
  <si>
    <t>YAMAHA SHOWROOM</t>
  </si>
  <si>
    <t>ABACO - AUDIO HI FI</t>
  </si>
  <si>
    <t>Unchecked</t>
  </si>
  <si>
    <t>ABACO S.R.L.</t>
  </si>
  <si>
    <t>ACADEMIA CIUDAD JARD</t>
  </si>
  <si>
    <t>ACADEMIA CRISTAL</t>
  </si>
  <si>
    <t>ACADEMIA DE MUSICA C</t>
  </si>
  <si>
    <t>ACADEMIA DE ORGANO L</t>
  </si>
  <si>
    <t>ACADEMIA GODOY CRUZ</t>
  </si>
  <si>
    <t>ACADEMIA MELODIAS</t>
  </si>
  <si>
    <t>ACADEMIA MUS. ARMONI</t>
  </si>
  <si>
    <t>ACADEMIA MUSICAL BOT</t>
  </si>
  <si>
    <t>ACADEMIA MUSICAL CAB</t>
  </si>
  <si>
    <t>ACADEMIA MUSICAL CUY</t>
  </si>
  <si>
    <t>ACADEMIA MUSICAL DE</t>
  </si>
  <si>
    <t>ACADEMIA MUSICAL EMI</t>
  </si>
  <si>
    <t>ACADEMIA MUSICAL ENA</t>
  </si>
  <si>
    <t>ACADEMIA MUSICAL LIV</t>
  </si>
  <si>
    <t>ACADEMIA MUSICAL NOR</t>
  </si>
  <si>
    <t>ACADEMIA MUSICAL QUI</t>
  </si>
  <si>
    <t>ACADEMIA MUSICAL SAN</t>
  </si>
  <si>
    <t>ACADEMIA MUSICAL STE</t>
  </si>
  <si>
    <t>ACADEMIA MUSICAL SUN</t>
  </si>
  <si>
    <t>ACADEMIA MUSICAL TEC</t>
  </si>
  <si>
    <t>ACADEMIA MUSIYAMA DE</t>
  </si>
  <si>
    <t>ACADEMIA ORFEO</t>
  </si>
  <si>
    <t>ACADEMIA SANTA ROSA</t>
  </si>
  <si>
    <t>ACLA-ASOC DE CORNIST</t>
  </si>
  <si>
    <t>ADH LAMONICA SILVIA</t>
  </si>
  <si>
    <t>AGESTA JORGE</t>
  </si>
  <si>
    <t>AGRESTA ERNESTO</t>
  </si>
  <si>
    <t>AGUNDEZ SUSANA</t>
  </si>
  <si>
    <t>AISSI S.R.L.</t>
  </si>
  <si>
    <t>AIT DIGITAL S.R.L.</t>
  </si>
  <si>
    <t>AIVICOM S.A.</t>
  </si>
  <si>
    <t>ALAN MUSICAL</t>
  </si>
  <si>
    <t>ALBERTO HUGO LANDINI</t>
  </si>
  <si>
    <t>ALEJANDRO FEDERICO L</t>
  </si>
  <si>
    <t>ALEJANDRO RAUL GONZA</t>
  </si>
  <si>
    <t>ALEM S.A.</t>
  </si>
  <si>
    <t>ALFA BETA COMPONENTE</t>
  </si>
  <si>
    <t>ALICIA RE</t>
  </si>
  <si>
    <t>ALL MUSIC</t>
  </si>
  <si>
    <t>ALL MUSIC DE TINAREL</t>
  </si>
  <si>
    <t>ALL MUSIC SH</t>
  </si>
  <si>
    <t>ALL TONE SISTEMAS</t>
  </si>
  <si>
    <t>ALLTRON S.A.I.C.I.F.</t>
  </si>
  <si>
    <t>ALMACEN MUSICAL</t>
  </si>
  <si>
    <t>ALVAREZ MUSICA</t>
  </si>
  <si>
    <t>ALVEZ JORGE DANIEL</t>
  </si>
  <si>
    <t>AMADEUS MUSICAL</t>
  </si>
  <si>
    <t>AMATUCCI JUAN CARLOS</t>
  </si>
  <si>
    <t>AMERICAN UNION S.A</t>
  </si>
  <si>
    <t>AMUYEN INSTRUMENTOS</t>
  </si>
  <si>
    <t>ANDRADE DIEGO FRANCI</t>
  </si>
  <si>
    <t>ANDRES WONSIK</t>
  </si>
  <si>
    <t>ANDUAGA ALBERTO</t>
  </si>
  <si>
    <t>APEX ELECTRONICA S.R</t>
  </si>
  <si>
    <t>APUD JULIO (POWER SY</t>
  </si>
  <si>
    <t>AQUI LA MUSICA</t>
  </si>
  <si>
    <t>ARCO RENTAL STATION</t>
  </si>
  <si>
    <t>ARESCO S.R.L.</t>
  </si>
  <si>
    <t>ARIES HOGAR DE BONAN</t>
  </si>
  <si>
    <t>ARS TECHNOLOGIES S.R</t>
  </si>
  <si>
    <t>ART &amp; MUSIC</t>
  </si>
  <si>
    <t>ARTE MUSICAL (MIDI M</t>
  </si>
  <si>
    <t>ASISTENZA S.A.</t>
  </si>
  <si>
    <t>ASO.COOP.ESCUELA MUS</t>
  </si>
  <si>
    <t>ASOC CIVIL AMIGOS DE</t>
  </si>
  <si>
    <t>ASOC COOP CONSERVATO</t>
  </si>
  <si>
    <t>ASOC. AMIGOS DEL MUS</t>
  </si>
  <si>
    <t>ASOC. DE LOS TESTIGO</t>
  </si>
  <si>
    <t>ASOCIACION AMIGOS DE</t>
  </si>
  <si>
    <t>ASOCIACION CIVIL ESC</t>
  </si>
  <si>
    <t>ASOCIACION COOPERADO</t>
  </si>
  <si>
    <t>ASOCIACION DE PADRES</t>
  </si>
  <si>
    <t>ASOCIACION FESTIVAL</t>
  </si>
  <si>
    <t>ASOCIACION JAPONESA</t>
  </si>
  <si>
    <t>ASTROBAIRES S.R.L.</t>
  </si>
  <si>
    <t>AUDILUM SRL</t>
  </si>
  <si>
    <t>AUDIMAGEN</t>
  </si>
  <si>
    <t>AUDIO CENTRO MUSICAL</t>
  </si>
  <si>
    <t>AUDIO DEE JAY - ALCA</t>
  </si>
  <si>
    <t>AUDIO DEL CENTRO DE</t>
  </si>
  <si>
    <t>AUDIO DJ DE MATIAS B</t>
  </si>
  <si>
    <t>AUDIO HI FI-PRO</t>
  </si>
  <si>
    <t>AUDIO IMPORT DE BELT</t>
  </si>
  <si>
    <t>AUDIO IMPORT DE CLAR</t>
  </si>
  <si>
    <t>AUDIO IMPORT SANTA F</t>
  </si>
  <si>
    <t>AUDIO INGENIERIA S.R</t>
  </si>
  <si>
    <t>AUDIO MILENIUM S.R.L</t>
  </si>
  <si>
    <t>AUDIO MUSICAL TOLEDO</t>
  </si>
  <si>
    <t>AUDIO OESTE DE DUART</t>
  </si>
  <si>
    <t>AUDIO POWER</t>
  </si>
  <si>
    <t>AUDIO SAGASTA</t>
  </si>
  <si>
    <t>AUDIO STOCK</t>
  </si>
  <si>
    <t>AUDIO STORE</t>
  </si>
  <si>
    <t>AUDIO VIDEO SYSTEMS</t>
  </si>
  <si>
    <t>AUDIOCAR</t>
  </si>
  <si>
    <t>AUDIOCENTER</t>
  </si>
  <si>
    <t>AUDIOCENTER S.R.L.</t>
  </si>
  <si>
    <t>AUDIOEQUIPOS.COM DE</t>
  </si>
  <si>
    <t>AUDIOLINE - CC AUDIO</t>
  </si>
  <si>
    <t>AUDIOLUX-SWAN MUSIC</t>
  </si>
  <si>
    <t>AUDIONET</t>
  </si>
  <si>
    <t>AUDIOPLUS</t>
  </si>
  <si>
    <t>AUDIOTECA S.R.L.</t>
  </si>
  <si>
    <t>AUDIOTECA.SR PANERO</t>
  </si>
  <si>
    <t>AUDIOTOP</t>
  </si>
  <si>
    <t>AUDITORIA MEDICA SIS</t>
  </si>
  <si>
    <t>AUDITRONIC S.R.L.</t>
  </si>
  <si>
    <t>AUIDIO PLANET ARGENT</t>
  </si>
  <si>
    <t>AVALON</t>
  </si>
  <si>
    <t>B.A. STORE DE IGLESI</t>
  </si>
  <si>
    <t>BABYLON</t>
  </si>
  <si>
    <t>BAGLIETTO PRODUCCION</t>
  </si>
  <si>
    <t>BALAZS EDUARDO.</t>
  </si>
  <si>
    <t>BARBERA ALFREDO</t>
  </si>
  <si>
    <t>BARBIERI HECTOR HORA</t>
  </si>
  <si>
    <t>BARBIERI MARTIN EZEQ</t>
  </si>
  <si>
    <t>BARONE SACIFI</t>
  </si>
  <si>
    <t>BARREIRO, LUIS MARIA</t>
  </si>
  <si>
    <t>BARRI EMILIANO</t>
  </si>
  <si>
    <t>BASS</t>
  </si>
  <si>
    <t>BAZAN SEBASTIAN GABR</t>
  </si>
  <si>
    <t>BAZAR IMPERIO</t>
  </si>
  <si>
    <t>BEDELE S.R.L.</t>
  </si>
  <si>
    <t>BENITO JULIAN</t>
  </si>
  <si>
    <t>BENUMA SRL</t>
  </si>
  <si>
    <t>BERNAL INSTRUMENTOS</t>
  </si>
  <si>
    <t>BERTINI GUIDO</t>
  </si>
  <si>
    <t>BEST GISELLE</t>
  </si>
  <si>
    <t>BEST SOUND SRL</t>
  </si>
  <si>
    <t>BEZAZIAN VASKEN EDUA</t>
  </si>
  <si>
    <t>BGH S.A.</t>
  </si>
  <si>
    <t>BIANCHI ANGEL ADOLFO</t>
  </si>
  <si>
    <t>BIDEGAIN MARCELO ALE</t>
  </si>
  <si>
    <t>BISTOLFI, HUGO</t>
  </si>
  <si>
    <t>BLAO S.R.L.</t>
  </si>
  <si>
    <t>BLUSET</t>
  </si>
  <si>
    <t>BOKIN</t>
  </si>
  <si>
    <t>BOLDRIN DEMETRIO ANI</t>
  </si>
  <si>
    <t>BONESI S.A.</t>
  </si>
  <si>
    <t>BORZONE ANIBAL</t>
  </si>
  <si>
    <t>BOSAN S.A.</t>
  </si>
  <si>
    <t>BOTTINELLI JORGE LUI</t>
  </si>
  <si>
    <t>BREYER HNOS.</t>
  </si>
  <si>
    <t>BROADCASTSOUNS S.R.L</t>
  </si>
  <si>
    <t>BRUNBORD S.A.</t>
  </si>
  <si>
    <t>BS.AS.SURROUND.</t>
  </si>
  <si>
    <t>BUENOS AIRES HERALD</t>
  </si>
  <si>
    <t>BUENOS AIRES LIVE SH</t>
  </si>
  <si>
    <t>BUSTOS HORACIO</t>
  </si>
  <si>
    <t>C HORACIO / BUENAS O</t>
  </si>
  <si>
    <t>C Y C ELECTRONICA SR</t>
  </si>
  <si>
    <t>C Y C PRO S.A.</t>
  </si>
  <si>
    <t>CACCIA EMILIANO</t>
  </si>
  <si>
    <t>CADAHIA S.R.L.</t>
  </si>
  <si>
    <t>CAESAR PARK ARGENTIN</t>
  </si>
  <si>
    <t>CALATAYUD ALFREDO EL</t>
  </si>
  <si>
    <t>CALEDONIA SEGUROS</t>
  </si>
  <si>
    <t>CAMARA JAPONESA DE C</t>
  </si>
  <si>
    <t>CAMPUSANO GASTON</t>
  </si>
  <si>
    <t>CANAL JOVEN S.A</t>
  </si>
  <si>
    <t>CANAPE DIEGO</t>
  </si>
  <si>
    <t>CANEPA JUAN M</t>
  </si>
  <si>
    <t>CANO ANA MARIA</t>
  </si>
  <si>
    <t>CANTAMESSA JORGE Y C</t>
  </si>
  <si>
    <t>CAPER</t>
  </si>
  <si>
    <t>CAPRA CARLOS FERNAND</t>
  </si>
  <si>
    <t>CARAMIELO GABRIEL</t>
  </si>
  <si>
    <t>CARIOLO SERGIO D. /</t>
  </si>
  <si>
    <t>CARLOS ALBERTO CAMPO</t>
  </si>
  <si>
    <t>CARLOS DE FILIPPI</t>
  </si>
  <si>
    <t>CARLOS SANCHEZ PRODU</t>
  </si>
  <si>
    <t>CARME SRL</t>
  </si>
  <si>
    <t>CARRIZO MARTIN ABEL</t>
  </si>
  <si>
    <t>CASA ALVAREZ</t>
  </si>
  <si>
    <t>CASA AMANCAY</t>
  </si>
  <si>
    <t>CASA AMERICA S.A</t>
  </si>
  <si>
    <t>CASA ANITA</t>
  </si>
  <si>
    <t>CASA ANTENA</t>
  </si>
  <si>
    <t>CASA BONELLI S.H</t>
  </si>
  <si>
    <t>CASA CROTTI</t>
  </si>
  <si>
    <t>CASA D'ALONZO</t>
  </si>
  <si>
    <t>CASA DE MUSICA DOMEN</t>
  </si>
  <si>
    <t>CASA DE MUSICA NAZAR</t>
  </si>
  <si>
    <t>CASA DE MUSICA SAION</t>
  </si>
  <si>
    <t>CASA DE MUSICA VENDO</t>
  </si>
  <si>
    <t>CASA DONNET</t>
  </si>
  <si>
    <t>CASA DOVER</t>
  </si>
  <si>
    <t>CASA GALLO DE GALLO</t>
  </si>
  <si>
    <t>CASA GRISOLIA</t>
  </si>
  <si>
    <t>CASA HARUMI</t>
  </si>
  <si>
    <t>CASA HAUSNER - FISCH</t>
  </si>
  <si>
    <t>CASA LIBERTELLA</t>
  </si>
  <si>
    <t>CASA MAGALU</t>
  </si>
  <si>
    <t>CASA MAR-AND'S</t>
  </si>
  <si>
    <t>CASA MARRODAN</t>
  </si>
  <si>
    <t>CASA MARVILL DE RAFA</t>
  </si>
  <si>
    <t>CASA ORIENTE</t>
  </si>
  <si>
    <t>CASA PANELLI</t>
  </si>
  <si>
    <t>CASA RADAELLI</t>
  </si>
  <si>
    <t>CASA RATTI</t>
  </si>
  <si>
    <t>CASA SCAGNETTI S.A</t>
  </si>
  <si>
    <t>CASA SUANT DE F SAIT</t>
  </si>
  <si>
    <t>CASA SUHRING S.R.L.</t>
  </si>
  <si>
    <t>CASA TREBES S.A.</t>
  </si>
  <si>
    <t>CASA VIVERO</t>
  </si>
  <si>
    <t>CASA WILLIAMS</t>
  </si>
  <si>
    <t>CASPER MUSIC S.H.</t>
  </si>
  <si>
    <t>CASTAGNO HNOS. S.A.</t>
  </si>
  <si>
    <t>CASTILLO LUCAS OMAR</t>
  </si>
  <si>
    <t>CEIBO-KAI</t>
  </si>
  <si>
    <t>CELA ELECTRONICA</t>
  </si>
  <si>
    <t>CENTER MUSIC</t>
  </si>
  <si>
    <t>CENTERLOM MUSICAL</t>
  </si>
  <si>
    <t>CENTO CONFORT</t>
  </si>
  <si>
    <t>CENTRO DE EDUCACION</t>
  </si>
  <si>
    <t>CENTRO GALICIA DE BU</t>
  </si>
  <si>
    <t>CEPEDA AMALIA CARMEN</t>
  </si>
  <si>
    <t>CERIOTTI ROBERTO ALF</t>
  </si>
  <si>
    <t>CEVA LOGISTICS</t>
  </si>
  <si>
    <t>CH ROBBINS - GUACNA</t>
  </si>
  <si>
    <t>CHEVES S.A.</t>
  </si>
  <si>
    <t>CHIAPPESONI OSVALDO</t>
  </si>
  <si>
    <t>CHIKAGE SHISHIDO</t>
  </si>
  <si>
    <t>CHINTALO MARIELA</t>
  </si>
  <si>
    <t>CICLO INTEGRAL DEL C</t>
  </si>
  <si>
    <t>CIEN PUBLICIDAD - ME</t>
  </si>
  <si>
    <t>CINE CENTER DE EDEL</t>
  </si>
  <si>
    <t>CINETOP DE RODRIGUEZ</t>
  </si>
  <si>
    <t>CINETOP S.A.</t>
  </si>
  <si>
    <t>CITY MARKET</t>
  </si>
  <si>
    <t>CIUDAD CULTURAL S.A.</t>
  </si>
  <si>
    <t>CLAPTON MUSICAL</t>
  </si>
  <si>
    <t>CLAUDIA &amp; KARINA GRI</t>
  </si>
  <si>
    <t>CLAVE DE FA</t>
  </si>
  <si>
    <t>CLAVE DE SOL S.A</t>
  </si>
  <si>
    <t>CLOTTA SANTIAGO</t>
  </si>
  <si>
    <t>CLUSTER ACOUSTICS</t>
  </si>
  <si>
    <t>CMAJ7</t>
  </si>
  <si>
    <t>COIRO GERMAN</t>
  </si>
  <si>
    <t>COLON TEATRO</t>
  </si>
  <si>
    <t>COLONESE CARLOS EDUA</t>
  </si>
  <si>
    <t>COLUSSI HUGO ALFREDO</t>
  </si>
  <si>
    <t>COMAS JUAN JOSE</t>
  </si>
  <si>
    <t>COMPUMUSIC S.R.L.</t>
  </si>
  <si>
    <t>COMUNA DE SAN GUILLE</t>
  </si>
  <si>
    <t>CONDOMINIO ELIO JOSE</t>
  </si>
  <si>
    <t>CONGRESS NET ARGENTI</t>
  </si>
  <si>
    <t>CONSERVATORIO DE MUS</t>
  </si>
  <si>
    <t>COOPERATIVA DE CONSU</t>
  </si>
  <si>
    <t>COOPERATIVA DE ELECT</t>
  </si>
  <si>
    <t>CORFIELD SANDRA NOEM</t>
  </si>
  <si>
    <t>CORIZZO CARLOS.</t>
  </si>
  <si>
    <t>CORPORACION ELECTRON</t>
  </si>
  <si>
    <t>CORTES CARLOS ALBERT</t>
  </si>
  <si>
    <t>CORTES POST PRODUCCI</t>
  </si>
  <si>
    <t>COSMHOGAR</t>
  </si>
  <si>
    <t>COSTA RODRIGO</t>
  </si>
  <si>
    <t>COSTANCO S.A.</t>
  </si>
  <si>
    <t>COTO C.I.C.S.A.</t>
  </si>
  <si>
    <t>COTO POMPEYA (NO USA</t>
  </si>
  <si>
    <t>COVER DISC DE CASTEL</t>
  </si>
  <si>
    <t>CRED - IN S.A.</t>
  </si>
  <si>
    <t>CRITICA DE ARTE - IU</t>
  </si>
  <si>
    <t>CROTTI ALBERTO OSVAL</t>
  </si>
  <si>
    <t>CTT S.A.</t>
  </si>
  <si>
    <t>CULZONI DANTE ARIEL</t>
  </si>
  <si>
    <t>CYBER-BOURG.</t>
  </si>
  <si>
    <t>DACAPO de TOMBA GUIL</t>
  </si>
  <si>
    <t>DAGHER S.A.</t>
  </si>
  <si>
    <t>D'AGOSTINO MUSICAL</t>
  </si>
  <si>
    <t>DAGOSTINO MUSICAL S.</t>
  </si>
  <si>
    <t>DALMAZZO PAOLA VIVIA</t>
  </si>
  <si>
    <t>DANIEL HUGO PIAZZOLL</t>
  </si>
  <si>
    <t>DAVID CHAIKH</t>
  </si>
  <si>
    <t>DBA</t>
  </si>
  <si>
    <t>DBM ACUSTICA Y ELECT</t>
  </si>
  <si>
    <t>DE CASTRO GUITARS S.</t>
  </si>
  <si>
    <t>DE CECCO, LEONARDO P</t>
  </si>
  <si>
    <t>DE GIOVANNI ADALBERT</t>
  </si>
  <si>
    <t>DE GIOVANNI CARLOS A</t>
  </si>
  <si>
    <t>DE LA RIEGA SEBASTIA</t>
  </si>
  <si>
    <t>DE MOLA VICENTE</t>
  </si>
  <si>
    <t>DE OLIVEIRA MARISA</t>
  </si>
  <si>
    <t>DE PAOLA DOMINGA EST</t>
  </si>
  <si>
    <t>DECIBLEZA S.R.L.</t>
  </si>
  <si>
    <t>DEGIOVANNI SERGIO NI</t>
  </si>
  <si>
    <t>DELIGIO NESTOR</t>
  </si>
  <si>
    <t>DELTA COMERCIALIZACI</t>
  </si>
  <si>
    <t>DEXEL S.R.L</t>
  </si>
  <si>
    <t>DIAPASON DE BUENOS A</t>
  </si>
  <si>
    <t>DIAZ ROIG BARBARO GI</t>
  </si>
  <si>
    <t>DIEGO FERNANDO ACCIA</t>
  </si>
  <si>
    <t>DIEGO HORACIO CATARI</t>
  </si>
  <si>
    <t>DIGICUSTICS S.R.L.</t>
  </si>
  <si>
    <t>DIGIPOINT DE FABIAN</t>
  </si>
  <si>
    <t>DIGISOLUTIONS SRL</t>
  </si>
  <si>
    <t>DIGITAL CENTER</t>
  </si>
  <si>
    <t>DIGITAL CINEMA / IVO</t>
  </si>
  <si>
    <t>DIGITAL DESIGNS S.A.</t>
  </si>
  <si>
    <t>DIGITAL MOVIES DE CA</t>
  </si>
  <si>
    <t>DIGITAL MUSIC S.A.</t>
  </si>
  <si>
    <t>DIGITAL SOUND</t>
  </si>
  <si>
    <t>DIGITAL SYSTEM</t>
  </si>
  <si>
    <t>DIMENSION HI FI</t>
  </si>
  <si>
    <t>DIOR MUSIC  de ORLIN</t>
  </si>
  <si>
    <t>DISCOMANIA</t>
  </si>
  <si>
    <t>DISQUERIAS LEF S.R.L</t>
  </si>
  <si>
    <t>DIST DEL LITORAL</t>
  </si>
  <si>
    <t>DJEREDJIIAN ROBERTO</t>
  </si>
  <si>
    <t>DOC SOUND S.R.L.</t>
  </si>
  <si>
    <t>DOCTOR DRUM</t>
  </si>
  <si>
    <t>DOCTOR EDUARDO</t>
  </si>
  <si>
    <t>DOMENE ALBERTO</t>
  </si>
  <si>
    <t>D'OR MUSIC de ORLINS</t>
  </si>
  <si>
    <t>DRUM SHOP</t>
  </si>
  <si>
    <t>DRUM TEAM SRL</t>
  </si>
  <si>
    <t>DTA SOLUTIONS</t>
  </si>
  <si>
    <t>DUBOUE JORGE EDUARDO</t>
  </si>
  <si>
    <t>DUCA HNOS</t>
  </si>
  <si>
    <t>DUETO S.A.</t>
  </si>
  <si>
    <t>DUHALDE OLIVERIO HEC</t>
  </si>
  <si>
    <t>DUILIO GOMIS  DG SYS</t>
  </si>
  <si>
    <t>DUMPELL CORP. SOCIED</t>
  </si>
  <si>
    <t>DUNCITY INTERNACIONA</t>
  </si>
  <si>
    <t>DURAN, GABRIEL MARTI</t>
  </si>
  <si>
    <t>DVD MOVIES ARGENTINA</t>
  </si>
  <si>
    <t>E&amp;A CONSULTORES</t>
  </si>
  <si>
    <t>EAR S.R.L.</t>
  </si>
  <si>
    <t>ECO Y MUSIC (MADRYN)</t>
  </si>
  <si>
    <t>ECO-MUSIC DE MENDEZ</t>
  </si>
  <si>
    <t>ECO-MUSIC S.A (LA PL</t>
  </si>
  <si>
    <t>ECUST</t>
  </si>
  <si>
    <t>EDEN MUSIC</t>
  </si>
  <si>
    <t>EDGARDO VILLAVICENCI</t>
  </si>
  <si>
    <t>EDIGAR S.A.</t>
  </si>
  <si>
    <t>EKON EMPRESA DE COMU</t>
  </si>
  <si>
    <t>EL BARITONO S.R.L.</t>
  </si>
  <si>
    <t>EL DUENDE</t>
  </si>
  <si>
    <t>EL LUGAR DE LA PERCU</t>
  </si>
  <si>
    <t>EL SOTANO</t>
  </si>
  <si>
    <t>EL SUBTERRANEO</t>
  </si>
  <si>
    <t>ELECTROMUSICAL</t>
  </si>
  <si>
    <t>ELECTRONICA DEL SUR</t>
  </si>
  <si>
    <t>ELECTRONICA MATSUSHI</t>
  </si>
  <si>
    <t>ELECTRONICA MENISALE</t>
  </si>
  <si>
    <t>ELECTRONICA PETRULLO</t>
  </si>
  <si>
    <t>ELECTRONICA ROSARIO</t>
  </si>
  <si>
    <t>ELECTRONICA SAFE</t>
  </si>
  <si>
    <t>ELECTRONICA VICARIO</t>
  </si>
  <si>
    <t>ELECTRONICA YULMAR</t>
  </si>
  <si>
    <t>ELECTROSIGLO S.R.L.</t>
  </si>
  <si>
    <t>EMAVE S.A.</t>
  </si>
  <si>
    <t>Embajada de la Rep.d</t>
  </si>
  <si>
    <t>ENAR-MUSIC DE DEMASI</t>
  </si>
  <si>
    <t>ENCICLOMUSICA</t>
  </si>
  <si>
    <t>ENCROL S.A</t>
  </si>
  <si>
    <t>ENDO HIROSHI</t>
  </si>
  <si>
    <t>ENSAMBLE MUSICAL</t>
  </si>
  <si>
    <t>ENSAMBLE MUSICAL DE</t>
  </si>
  <si>
    <t>ENTERTAINMENT DEPOT</t>
  </si>
  <si>
    <t>EPUMER MARIA GABRIEL</t>
  </si>
  <si>
    <t>EQUAPHON</t>
  </si>
  <si>
    <t>EQUIPAMIENTOS SANCI</t>
  </si>
  <si>
    <t>ERATO</t>
  </si>
  <si>
    <t>ERNESTO MORITA</t>
  </si>
  <si>
    <t>ESCAPIL MARTIN</t>
  </si>
  <si>
    <t>ESCUELA DE MUSICA SI</t>
  </si>
  <si>
    <t>ESCUELA TECSON SRL</t>
  </si>
  <si>
    <t>ESCUELAS MUSICALES S</t>
  </si>
  <si>
    <t>ESTHER SOTO</t>
  </si>
  <si>
    <t>ESTUDIO MUSICAL</t>
  </si>
  <si>
    <t>ESTUDIO MUSICAL.</t>
  </si>
  <si>
    <t>ESTUDIOS MOEBIO S.A.</t>
  </si>
  <si>
    <t>EXED INFORMATICA</t>
  </si>
  <si>
    <t>EXOLGAN S.A.</t>
  </si>
  <si>
    <t>EXOLOGISTICA S.A.</t>
  </si>
  <si>
    <t>EXOSOUND S.R.L.</t>
  </si>
  <si>
    <t>EXPORTADORA AMERICAN</t>
  </si>
  <si>
    <t>EXPOVENTAS NEOM</t>
  </si>
  <si>
    <t>ExpresoS ADER S.A.</t>
  </si>
  <si>
    <t>ExpresoS VIDAL S.A.</t>
  </si>
  <si>
    <t>EXSON SONIDO E ILUMI</t>
  </si>
  <si>
    <t>F.A. DRUM CENTER</t>
  </si>
  <si>
    <t>FAMA SOLEDAD</t>
  </si>
  <si>
    <t>FAMUSIC S.A.</t>
  </si>
  <si>
    <t>FASTPICKS DE CLAUDIO</t>
  </si>
  <si>
    <t>FAT FERNANDEZ</t>
  </si>
  <si>
    <t>FECOM SA</t>
  </si>
  <si>
    <t>FERNANDEZ CARLOS WAL</t>
  </si>
  <si>
    <t>FERNANDO HUGO SALORT</t>
  </si>
  <si>
    <t>FERRANTE MUSICA</t>
  </si>
  <si>
    <t>FICICCHIA CARLOS ALB</t>
  </si>
  <si>
    <t>FILADELFIA INST. MUS</t>
  </si>
  <si>
    <t>FILMICA DE BERTOSSI</t>
  </si>
  <si>
    <t>FINGERS MULTIMEDIA S</t>
  </si>
  <si>
    <t>FITTERS</t>
  </si>
  <si>
    <t>FM DE ALEJANDRO FABI</t>
  </si>
  <si>
    <t>FOGLIA MANUEL ANIBAL</t>
  </si>
  <si>
    <t>FOLK MUSIC CENTER</t>
  </si>
  <si>
    <t>FONTANA HUM NICOLAS</t>
  </si>
  <si>
    <t>FOTO ARTE S.R.L.</t>
  </si>
  <si>
    <t>FOWLER</t>
  </si>
  <si>
    <t>FOX MUSIC CENTER</t>
  </si>
  <si>
    <t>FRANCO RICARDO RAMIR</t>
  </si>
  <si>
    <t>FREE PACK DE LUIS J.</t>
  </si>
  <si>
    <t>FREEDOM MUSIC S.R.L.</t>
  </si>
  <si>
    <t>FULL AUDIO</t>
  </si>
  <si>
    <t>FULL ENERGY S.R.L.</t>
  </si>
  <si>
    <t>FULL-RANGE</t>
  </si>
  <si>
    <t>FUNDACION BANCO DE L</t>
  </si>
  <si>
    <t>FUNDACION BCO. DE LA</t>
  </si>
  <si>
    <t>FUNDACION CITA CON L</t>
  </si>
  <si>
    <t>FUNDACION CULTURAL P</t>
  </si>
  <si>
    <t>FUNDACION ENJASA</t>
  </si>
  <si>
    <t>FUNDACION HOSPITAL G</t>
  </si>
  <si>
    <t>FUNDACION INT TALENT</t>
  </si>
  <si>
    <t>FUNDACION JULIO BOCC</t>
  </si>
  <si>
    <t>FUNDACION NAZARET</t>
  </si>
  <si>
    <t>FUNDACION OCTUBRE</t>
  </si>
  <si>
    <t>FUNDACION UNIVERSIDA</t>
  </si>
  <si>
    <t>FUNDAX S.R.L</t>
  </si>
  <si>
    <t>FUSION MUSICAL</t>
  </si>
  <si>
    <t>FYDATODO</t>
  </si>
  <si>
    <t>G DE T SRL</t>
  </si>
  <si>
    <t>GABRIEL M.LOPEZ</t>
  </si>
  <si>
    <t>GAK MARCELO</t>
  </si>
  <si>
    <t>GALANCE REP. Y SERVI</t>
  </si>
  <si>
    <t>GALVEZ MUSIC DE PABL</t>
  </si>
  <si>
    <t>GAMA MUSICAL DE DE L</t>
  </si>
  <si>
    <t>GANDULFO ANIBAL JORG</t>
  </si>
  <si>
    <t>GARCIA HECTOR</t>
  </si>
  <si>
    <t>GARDENAL OSCAR</t>
  </si>
  <si>
    <t>GARETO HORACIO</t>
  </si>
  <si>
    <t>GASEI S.A.</t>
  </si>
  <si>
    <t>GC AUDIO S.R.L.</t>
  </si>
  <si>
    <t>GEMINIS ESP ELECTRO</t>
  </si>
  <si>
    <t>GENARO OJEDA</t>
  </si>
  <si>
    <t>GENESES INTERNACIONA</t>
  </si>
  <si>
    <t>GENESES S.R.L</t>
  </si>
  <si>
    <t>GENESIS de BRINGA LE</t>
  </si>
  <si>
    <t>GHEZZI FERNANDO HECT</t>
  </si>
  <si>
    <t>GIORDANO CLAUDIO FAB</t>
  </si>
  <si>
    <t>GIUDICE, RUBEN</t>
  </si>
  <si>
    <t>GOBIERNO DE LA CIUDA</t>
  </si>
  <si>
    <t>GOLDMAN ERNESTO TEOD</t>
  </si>
  <si>
    <t>GOMEZ CARLOS ALBERTO</t>
  </si>
  <si>
    <t>GONZALEZ ALFREDO RAU</t>
  </si>
  <si>
    <t>GONZALEZ CARLOS</t>
  </si>
  <si>
    <t>GONZALEZ EDUARDO LUI</t>
  </si>
  <si>
    <t>GRABACENTRO</t>
  </si>
  <si>
    <t>GRAN A.S.</t>
  </si>
  <si>
    <t>GRANZOTTO EGIDIO</t>
  </si>
  <si>
    <t>GREY INSTRUMENTOS MU</t>
  </si>
  <si>
    <t>GRINGOS</t>
  </si>
  <si>
    <t>GRUPO CENTERLOM S.A.</t>
  </si>
  <si>
    <t>GRUPO ILHSA SOCIEDAD</t>
  </si>
  <si>
    <t>GS SONIDO PROD TECNI</t>
  </si>
  <si>
    <t>GUERRINI PABLO</t>
  </si>
  <si>
    <t>GUILLE</t>
  </si>
  <si>
    <t>GUILLERMO HERNAEZ(LA</t>
  </si>
  <si>
    <t>GUITAR MAN INST MUSI</t>
  </si>
  <si>
    <t>GUITAR SHOP</t>
  </si>
  <si>
    <t>GUITAR WORLD</t>
  </si>
  <si>
    <t>GUSTAVO DANIEL SEGAL</t>
  </si>
  <si>
    <t>GWS ELECTRONICA</t>
  </si>
  <si>
    <t>H.M.C.DE EDUARDO DAU</t>
  </si>
  <si>
    <t>HABANAI S.A.</t>
  </si>
  <si>
    <t>HABESHIAN INSTRUMENT</t>
  </si>
  <si>
    <t>HAMELIN MUSIC DE RIN</t>
  </si>
  <si>
    <t>HARMONY MUSIC GROUP</t>
  </si>
  <si>
    <t>HAUSTECH S.R.L.</t>
  </si>
  <si>
    <t>HENDRIX MUSIC</t>
  </si>
  <si>
    <t>HENDRIX MUSIC S.R.L.</t>
  </si>
  <si>
    <t>HENRY</t>
  </si>
  <si>
    <t>HERBON SONIDO</t>
  </si>
  <si>
    <t>HGM EQUIPAMIENTOS S.</t>
  </si>
  <si>
    <t>HI-FI</t>
  </si>
  <si>
    <t>HI-FI LASER S.R.L.</t>
  </si>
  <si>
    <t>HI-FI MUSIC</t>
  </si>
  <si>
    <t>HIGH FIDELITY S.R.L.</t>
  </si>
  <si>
    <t>HIPER S.A.</t>
  </si>
  <si>
    <t>HIPER TRI</t>
  </si>
  <si>
    <t>HI-TRACK S.A.</t>
  </si>
  <si>
    <t>HOCUS POCUS</t>
  </si>
  <si>
    <t>HOFFMANN INSTRUMENTO</t>
  </si>
  <si>
    <t>HOLGADO HECTOR DANIE</t>
  </si>
  <si>
    <t>HOLIMAR SRL</t>
  </si>
  <si>
    <t>HOME PRO DE SANCHEZ</t>
  </si>
  <si>
    <t>HOME SOLUTION S.A.</t>
  </si>
  <si>
    <t>HOME THEATER</t>
  </si>
  <si>
    <t>HORACIO RAUL BUSTOS</t>
  </si>
  <si>
    <t>HORNS</t>
  </si>
  <si>
    <t>HOTELES MEDITERRANEO</t>
  </si>
  <si>
    <t>HSBC LA BUENOS AIRES</t>
  </si>
  <si>
    <t>HUGO KOSSOY</t>
  </si>
  <si>
    <t>HUGO VISTOLFI</t>
  </si>
  <si>
    <t>IANNETTA MARCELO</t>
  </si>
  <si>
    <t>IBERIA MUSICAL</t>
  </si>
  <si>
    <t>ICAP S.A.</t>
  </si>
  <si>
    <t>IDEAS DEL SUR S.A.</t>
  </si>
  <si>
    <t>IENCENELLA SONIDO</t>
  </si>
  <si>
    <t>IKEDA SOFIA</t>
  </si>
  <si>
    <t>ILLINOIS IMPORT S.R.</t>
  </si>
  <si>
    <t>IMAGEN 2000 DE BORDO</t>
  </si>
  <si>
    <t>IMAGENES de JORGE PE</t>
  </si>
  <si>
    <t>IMAGINATE DE RUBEN O</t>
  </si>
  <si>
    <t>IMAI EIJI</t>
  </si>
  <si>
    <t>IMPORT MUSIC S.A</t>
  </si>
  <si>
    <t>INDEA S.A.</t>
  </si>
  <si>
    <t>INST. PRIVADO ARGENT</t>
  </si>
  <si>
    <t>INSTAK</t>
  </si>
  <si>
    <t>INSTITUTO AMADEUS</t>
  </si>
  <si>
    <t>INSTITUTO BLANQUERNA</t>
  </si>
  <si>
    <t>INSTITUTO DE INV. CI</t>
  </si>
  <si>
    <t>INSTITUTO DE MUSICA</t>
  </si>
  <si>
    <t>INSTRUM MUSICALES SA</t>
  </si>
  <si>
    <t>INSTRUMENTOS MUSICAL</t>
  </si>
  <si>
    <t>INTEGRAL DE MUSICA</t>
  </si>
  <si>
    <t>INTELHOME DE ACEVEDO</t>
  </si>
  <si>
    <t>INTERCRON S.R.L.</t>
  </si>
  <si>
    <t>INTERDEPOSITOS SA</t>
  </si>
  <si>
    <t>INTERLUDIO</t>
  </si>
  <si>
    <t>INTERMUSICA S.A</t>
  </si>
  <si>
    <t>INTERVALO DE VARELA</t>
  </si>
  <si>
    <t>INTILI EDUARDO</t>
  </si>
  <si>
    <t>INVISIBLE</t>
  </si>
  <si>
    <t>ISIKAWA ELECTRONICA</t>
  </si>
  <si>
    <t>ISNARD BERTRAND HENR</t>
  </si>
  <si>
    <t>ITMC</t>
  </si>
  <si>
    <t>IUZOL MUSICAL</t>
  </si>
  <si>
    <t>J.J.M.INSTRUMENTOS M</t>
  </si>
  <si>
    <t>JAZZ INSTRUMENTOS MU</t>
  </si>
  <si>
    <t>JONS SILBERSTEIN S.R</t>
  </si>
  <si>
    <t>JORDA CAMILO</t>
  </si>
  <si>
    <t>JORGE AGUERRE INST</t>
  </si>
  <si>
    <t>JOSE LUIS PRODUCCION</t>
  </si>
  <si>
    <t>JOSE MARIA DE LA FUE</t>
  </si>
  <si>
    <t>JUAN ANDRES TOMASELL</t>
  </si>
  <si>
    <t>JUAN CARLOS BAGLIETT</t>
  </si>
  <si>
    <t>JUDURCHA</t>
  </si>
  <si>
    <t>JUGUEMOS CON LA MUSI</t>
  </si>
  <si>
    <t>JUGUETERIA 1810</t>
  </si>
  <si>
    <t>JUNCAL TURISMO</t>
  </si>
  <si>
    <t>K INTERNATIONAL S.A.</t>
  </si>
  <si>
    <t>KAIEME S.R.L.</t>
  </si>
  <si>
    <t>KALEVICH CRISTIAN /</t>
  </si>
  <si>
    <t>KALVANSKI DANIEL</t>
  </si>
  <si>
    <t>KAMBURIS ALEJANDRO</t>
  </si>
  <si>
    <t>KARAOKE ERIKA</t>
  </si>
  <si>
    <t>KATO SUSANA</t>
  </si>
  <si>
    <t>KAWASE ETSUJI</t>
  </si>
  <si>
    <t>KEGALJ CLAUDIO</t>
  </si>
  <si>
    <t>KIZMAN LEANDRO</t>
  </si>
  <si>
    <t>KOCHGORIAN HNOS.</t>
  </si>
  <si>
    <t>KUNIN BEATRIZ MIRIAM</t>
  </si>
  <si>
    <t>KWABARA (DE MITSUI A</t>
  </si>
  <si>
    <t>LA 440</t>
  </si>
  <si>
    <t>LA BISABUELA</t>
  </si>
  <si>
    <t>LA C DE LAS GUITARRA</t>
  </si>
  <si>
    <t>LA CASA DE LA BIBLIA</t>
  </si>
  <si>
    <t>LA CASA DE LA GUITAR</t>
  </si>
  <si>
    <t>LA CASA DE LAS GUITA</t>
  </si>
  <si>
    <t>LA CASA DE LOS PIANO</t>
  </si>
  <si>
    <t>LA CASA DEL INST MUS</t>
  </si>
  <si>
    <t>LA CASA DEL PARLANTE</t>
  </si>
  <si>
    <t>LA CENTRAL</t>
  </si>
  <si>
    <t>LA CLAVE VIP DE MOYA</t>
  </si>
  <si>
    <t>LA COMPANIA DE SONID</t>
  </si>
  <si>
    <t>LA CORCHEA</t>
  </si>
  <si>
    <t>LA CUADRADA MUSICAL</t>
  </si>
  <si>
    <t>LA FUSA DE OMAR ANIB</t>
  </si>
  <si>
    <t>LA GALERA DRUGSTORE</t>
  </si>
  <si>
    <t>LA KARPA SRL</t>
  </si>
  <si>
    <t>LA MAGA</t>
  </si>
  <si>
    <t>LA MAJA.</t>
  </si>
  <si>
    <t>LA NOTA</t>
  </si>
  <si>
    <t>LA NOVEDAD S.A.</t>
  </si>
  <si>
    <t>LA PUA (JOSE C. PAZ)</t>
  </si>
  <si>
    <t>LA PUA (SAN MIGUEL)</t>
  </si>
  <si>
    <t>LA SALA DE PELLIZZAR</t>
  </si>
  <si>
    <t>LA VIOLA S.R.L.</t>
  </si>
  <si>
    <t>LABORATORIOS LENOR</t>
  </si>
  <si>
    <t>LABRUNE ELECTRONICA</t>
  </si>
  <si>
    <t>LAGAREJOS JOSE MARIA</t>
  </si>
  <si>
    <t>LANCELOTTI MARIA CRI</t>
  </si>
  <si>
    <t>LARRANAGA, MARTIN JA</t>
  </si>
  <si>
    <t>LASER MUSIC</t>
  </si>
  <si>
    <t>LAUFER ELECTRONICA</t>
  </si>
  <si>
    <t>LAVANDERA HORACIO</t>
  </si>
  <si>
    <t>LAVISSE</t>
  </si>
  <si>
    <t>LEGGIO, JORGE</t>
  </si>
  <si>
    <t>LEJONA ROBERTO</t>
  </si>
  <si>
    <t>LES LUTHIERS S.R.L.</t>
  </si>
  <si>
    <t>LEVA ALEJANDRO JOSE</t>
  </si>
  <si>
    <t>LEVINSONAS, JULIO AL</t>
  </si>
  <si>
    <t>LIBERTAD S.A.</t>
  </si>
  <si>
    <t>LIBRA</t>
  </si>
  <si>
    <t>LIBRA DE FISTECHIK J</t>
  </si>
  <si>
    <t>LINARES FERNANDO (LU</t>
  </si>
  <si>
    <t>LIOTTA SANTIAGO VICE</t>
  </si>
  <si>
    <t>LIZZANO LEONARDO</t>
  </si>
  <si>
    <t>LMGUERRISI S.R.L.</t>
  </si>
  <si>
    <t>LOMBARDI ABEL S.A.</t>
  </si>
  <si>
    <t>LOS GORILAS</t>
  </si>
  <si>
    <t>LOS VIKINGS S.A</t>
  </si>
  <si>
    <t>LUCIANA HOGAR S.A</t>
  </si>
  <si>
    <t>LUCKI MAURICIO Y ARI</t>
  </si>
  <si>
    <t>LUDUENA INSTRUMENTOS</t>
  </si>
  <si>
    <t>LUGOX MUSRE</t>
  </si>
  <si>
    <t>LUIS IOMMI AUDIO</t>
  </si>
  <si>
    <t>M. B. LUZ Y SONIDO</t>
  </si>
  <si>
    <t>M.C. ELECTRONIC</t>
  </si>
  <si>
    <t>M.C. SISTEMAS S.A.</t>
  </si>
  <si>
    <t>M.O.SONIDO DEL 2000</t>
  </si>
  <si>
    <t>MAC SUPPORT</t>
  </si>
  <si>
    <t>MAGNIFICO INSTRUMENT</t>
  </si>
  <si>
    <t>MAIORANA DANIEL</t>
  </si>
  <si>
    <t>MANDRILE ALCIDES B.</t>
  </si>
  <si>
    <t>MANNY'S MUSIC CENTER</t>
  </si>
  <si>
    <t>MANOLO JUAREZ</t>
  </si>
  <si>
    <t>MANOLO YANIES</t>
  </si>
  <si>
    <t>MANOUKIAN SONIDOS</t>
  </si>
  <si>
    <t>MANTINI 17  MUSIC</t>
  </si>
  <si>
    <t>MANTINI ALBERTO Y LE</t>
  </si>
  <si>
    <t>MARCELO FONTANET</t>
  </si>
  <si>
    <t>MARCELO SEGUIN ALVAR</t>
  </si>
  <si>
    <t>MARCELO TORRES</t>
  </si>
  <si>
    <t>MARCELO.A.CEBALLOS</t>
  </si>
  <si>
    <t>MARCUCCI, HECTOR O</t>
  </si>
  <si>
    <t>MARIO PARMISANO</t>
  </si>
  <si>
    <t>MARTI, ARIEL ESTEBAN</t>
  </si>
  <si>
    <t>MARTIN GABRIEL SZNAI</t>
  </si>
  <si>
    <t>MARTINA ALEJANDRO DA</t>
  </si>
  <si>
    <t>MASANORI KANEKO</t>
  </si>
  <si>
    <t>MASTER MUSIC</t>
  </si>
  <si>
    <t>MASTROMONACO ESTEBAN</t>
  </si>
  <si>
    <t>MATRELLE DEL RE</t>
  </si>
  <si>
    <t>MATSUNAGA MASUNAO</t>
  </si>
  <si>
    <t>MAUNESS ROCK</t>
  </si>
  <si>
    <t>MAXIHOGAR S.R.L.</t>
  </si>
  <si>
    <t>MAXSON DE THOMAS LEA</t>
  </si>
  <si>
    <t>MAYNARD DE CATELOTTI</t>
  </si>
  <si>
    <t>MB LUZ Y SONIDO</t>
  </si>
  <si>
    <t>MDR PRODUCCIONES SRL</t>
  </si>
  <si>
    <t>MEK SONIDO</t>
  </si>
  <si>
    <t>MELERO ANTONIO CARLO</t>
  </si>
  <si>
    <t>MELERO E ITELMAN SRL</t>
  </si>
  <si>
    <t>MELODIAS</t>
  </si>
  <si>
    <t>MELODIK</t>
  </si>
  <si>
    <t>MELO'DY (MORENO)</t>
  </si>
  <si>
    <t>MELODY (SALTA)</t>
  </si>
  <si>
    <t>MELODY(PIGUE)</t>
  </si>
  <si>
    <t>MENSI HORACIO LEONAR</t>
  </si>
  <si>
    <t>MERAD FABIAN</t>
  </si>
  <si>
    <t>MESSINA RODOLFO ANTO</t>
  </si>
  <si>
    <t>MI MUSICA</t>
  </si>
  <si>
    <t>MIGUEL ANGEL BUEZAS</t>
  </si>
  <si>
    <t>MILAN JUAN ANTONIO</t>
  </si>
  <si>
    <t>MIRIAM VELAZQUEZ ESQ</t>
  </si>
  <si>
    <t>MJ MUSIC CO SRL</t>
  </si>
  <si>
    <t>MK2</t>
  </si>
  <si>
    <t>MK2 S.R.L.</t>
  </si>
  <si>
    <t>MOIRON MARCELO</t>
  </si>
  <si>
    <t>MONFRINI JUAN Y BRAN</t>
  </si>
  <si>
    <t>MONK DE GABRIELA C.</t>
  </si>
  <si>
    <t>MORGADO CLAUDIO</t>
  </si>
  <si>
    <t>MORIYAMA HIDEO</t>
  </si>
  <si>
    <t>MOSQUI SONIDO PROFES</t>
  </si>
  <si>
    <t>MOURE ROBERTO</t>
  </si>
  <si>
    <t>MOYANO SILVIA</t>
  </si>
  <si>
    <t>MOZIAN GUILLERMO PED</t>
  </si>
  <si>
    <t>MP EDICIONES S.A.</t>
  </si>
  <si>
    <t>MR JACKS (CONECTIVID</t>
  </si>
  <si>
    <t>MR MUSIC</t>
  </si>
  <si>
    <t>MUEBLERIA REYNA</t>
  </si>
  <si>
    <t>MUEBLERIA TORCA S.A.</t>
  </si>
  <si>
    <t>MULTILOGISTICA S.A.</t>
  </si>
  <si>
    <t>MULTIMEDIA CENTER</t>
  </si>
  <si>
    <t>MULTIMEDIA VIDEO &amp; S</t>
  </si>
  <si>
    <t>MUNDO MUSIC DE LARRA</t>
  </si>
  <si>
    <t>MUNDO MUSICAL DE STA</t>
  </si>
  <si>
    <t>MUNICIPALIDAD DE CER</t>
  </si>
  <si>
    <t>MUNICIPALIDAD DE PUE</t>
  </si>
  <si>
    <t>MUSI CALIDAD 41</t>
  </si>
  <si>
    <t>MUSIC 8</t>
  </si>
  <si>
    <t>MUSIC BY TIEZZI</t>
  </si>
  <si>
    <t>MUSIC EXPRESS S.R.L</t>
  </si>
  <si>
    <t>MUSIC HALL S.A.</t>
  </si>
  <si>
    <t>MUSIC HOUSE</t>
  </si>
  <si>
    <t>MUSIC SOL DE MARIA N</t>
  </si>
  <si>
    <t>MUSIC SYSTEMS</t>
  </si>
  <si>
    <t>MUSIC TOWN DE LUNA,</t>
  </si>
  <si>
    <t>MUSIC ZONE DE JOSE L</t>
  </si>
  <si>
    <t>MUSICA MUSICA</t>
  </si>
  <si>
    <t>MUSICAL GEM (BYS SAM</t>
  </si>
  <si>
    <t>MUSICAL GINO</t>
  </si>
  <si>
    <t>MUSICAL GONZALEZ DE</t>
  </si>
  <si>
    <t>MUSICAL HOUSE DE DAN</t>
  </si>
  <si>
    <t>MUSICAL LA FUSA</t>
  </si>
  <si>
    <t>MUSICAL LA FUSA DE F</t>
  </si>
  <si>
    <t>MUSICAL LANUS</t>
  </si>
  <si>
    <t>MUSICAL NORTE</t>
  </si>
  <si>
    <t>MUSICAL OLAVARRIA DE</t>
  </si>
  <si>
    <t>MUSICAL SOR</t>
  </si>
  <si>
    <t>MUSICALES.COM S.R.L.</t>
  </si>
  <si>
    <t>MUSICALISIMO</t>
  </si>
  <si>
    <t>MUSICANALE</t>
  </si>
  <si>
    <t>MUSICIENS DE FEDRE G</t>
  </si>
  <si>
    <t>MUSICOMANIA</t>
  </si>
  <si>
    <t>MUSICOR de Pro-Arte</t>
  </si>
  <si>
    <t>MUSICYAMA</t>
  </si>
  <si>
    <t>MUSI-K-MUNDO</t>
  </si>
  <si>
    <t>MUSILANDIA</t>
  </si>
  <si>
    <t>MUSIQUERIA BOLDRIN</t>
  </si>
  <si>
    <t>MUSISUR S.R.L</t>
  </si>
  <si>
    <t>NARVAEZ SILVANA VANE</t>
  </si>
  <si>
    <t>NEBBIA FELIX FRANCIS</t>
  </si>
  <si>
    <t>NEBULAE S.A.</t>
  </si>
  <si>
    <t>NEO DE GARCIA FEDERI</t>
  </si>
  <si>
    <t>NETTO S.A. (MUSIC ST</t>
  </si>
  <si>
    <t>NEW SOUND</t>
  </si>
  <si>
    <t>NEW TECH SOLUTIONS S</t>
  </si>
  <si>
    <t>NEW TECNOLOGY</t>
  </si>
  <si>
    <t>NICATEL S.R.L.</t>
  </si>
  <si>
    <t>NISHIOKA,NOBUYUKI</t>
  </si>
  <si>
    <t>NIX AUDIOVISUAL S.R.</t>
  </si>
  <si>
    <t>NO PROBLEM</t>
  </si>
  <si>
    <t>NUEVE OCTAVAS</t>
  </si>
  <si>
    <t>NYTEC S.A.</t>
  </si>
  <si>
    <t>O.M. AUDIO PRO SRL</t>
  </si>
  <si>
    <t>OCHOA RICARDO HORACI</t>
  </si>
  <si>
    <t>OCIO.ALMACEN DIGITAL</t>
  </si>
  <si>
    <t>OLIVA DOMINGO HORACI</t>
  </si>
  <si>
    <t>OLIVA HORACIO Y OTRO</t>
  </si>
  <si>
    <t>OLIVEIRA HERMANOS S.</t>
  </si>
  <si>
    <t>ONDA 2001</t>
  </si>
  <si>
    <t>OPTION SYSTEMS DE FI</t>
  </si>
  <si>
    <t>OPUS</t>
  </si>
  <si>
    <t>ORVENDI S.R.L</t>
  </si>
  <si>
    <t>OTERO PEDRO Y SEHINK</t>
  </si>
  <si>
    <t>OTTO DRUMS</t>
  </si>
  <si>
    <t>P. AUDIO ARGENTINA</t>
  </si>
  <si>
    <t>PABLO EZEQUIEL COSTA</t>
  </si>
  <si>
    <t>PALACIOS FERNANDEZ L</t>
  </si>
  <si>
    <t>PALAZZOLO EDUARDO GU</t>
  </si>
  <si>
    <t>PALLADINI GABRIEL</t>
  </si>
  <si>
    <t>PALMERA RECORD SRL</t>
  </si>
  <si>
    <t>PARACHE, ALDO OSCAR</t>
  </si>
  <si>
    <t>PATAGONIA JAZZ ASOC.</t>
  </si>
  <si>
    <t>PATANE ROMAN</t>
  </si>
  <si>
    <t>PC MUSIC</t>
  </si>
  <si>
    <t>PENTA MUSIC</t>
  </si>
  <si>
    <t>PENTAGRAMA INST MUSI</t>
  </si>
  <si>
    <t>PEQUENINO A.V.</t>
  </si>
  <si>
    <t>PERANIO ALEJANDRO</t>
  </si>
  <si>
    <t>PEREZ GUSTAVO FERNAN</t>
  </si>
  <si>
    <t>PESSOLANO LUIS</t>
  </si>
  <si>
    <t>PHONALEX SAIC</t>
  </si>
  <si>
    <t>PIANOLANDIA</t>
  </si>
  <si>
    <t>PIERRO DANIEL</t>
  </si>
  <si>
    <t>PITAGORAS</t>
  </si>
  <si>
    <t>PIXEL S.R.L.</t>
  </si>
  <si>
    <t>PIXEL SOLUTIONS S.A.</t>
  </si>
  <si>
    <t>PLA  DIGITAL DE PLA</t>
  </si>
  <si>
    <t>PLA DIGITAL AUDIO VI</t>
  </si>
  <si>
    <t>PLANET RECORDS</t>
  </si>
  <si>
    <t>PLATERO</t>
  </si>
  <si>
    <t>PLAY BACK</t>
  </si>
  <si>
    <t>PLAYMUSIC DE ROSETTI</t>
  </si>
  <si>
    <t>POLER SA</t>
  </si>
  <si>
    <t>POLIMUSIC</t>
  </si>
  <si>
    <t>POP MUSIC</t>
  </si>
  <si>
    <t>POP MUSIC DE DOLHAG</t>
  </si>
  <si>
    <t>POP MUSIC DE DOLHAGA</t>
  </si>
  <si>
    <t>POWER</t>
  </si>
  <si>
    <t>POWER RECORDS - SOUN</t>
  </si>
  <si>
    <t>POWER STATION</t>
  </si>
  <si>
    <t>PRO SHOW S.A.</t>
  </si>
  <si>
    <t>PRO-ARTE S.A.</t>
  </si>
  <si>
    <t>PROEMBA S.A.</t>
  </si>
  <si>
    <t>PRO-LUX</t>
  </si>
  <si>
    <t>PROMUSICA - NEMILER</t>
  </si>
  <si>
    <t>PROTEUS SRL</t>
  </si>
  <si>
    <t>PROTO HNOS</t>
  </si>
  <si>
    <t>PROV. DE SALTA - SEC</t>
  </si>
  <si>
    <t>PROVEL ELECTRONICA</t>
  </si>
  <si>
    <t>PROWATT SRL</t>
  </si>
  <si>
    <t>PROYECCIONES DIGITAL</t>
  </si>
  <si>
    <t>PRUDENCIO LACAMARA</t>
  </si>
  <si>
    <t>PUBLICIDAD CHAPINO</t>
  </si>
  <si>
    <t>PUERTOTECH COMPUTERS</t>
  </si>
  <si>
    <t>PUIG AUDIO &amp; VIDEO</t>
  </si>
  <si>
    <t>PUJAL JERONIMO</t>
  </si>
  <si>
    <t>PULLNET S.R.L.</t>
  </si>
  <si>
    <t>QUOR S.R.L.</t>
  </si>
  <si>
    <t>RADIO ACETO S.A</t>
  </si>
  <si>
    <t>RADIO CITY DE CANZIA</t>
  </si>
  <si>
    <t>RADIO CITY DE DOCTOR</t>
  </si>
  <si>
    <t>RADIO MITRE S.A.</t>
  </si>
  <si>
    <t>RADIO PEYBO TV SACIF</t>
  </si>
  <si>
    <t>RAM BOR S.A.</t>
  </si>
  <si>
    <t>RANDOM RECORDS</t>
  </si>
  <si>
    <t>REALTRONIC S.A.</t>
  </si>
  <si>
    <t>REBELLO ROBERTO</t>
  </si>
  <si>
    <t>RECITAL INST MUSICAL</t>
  </si>
  <si>
    <t>RECORDING STUDIO</t>
  </si>
  <si>
    <t>RE-CREO</t>
  </si>
  <si>
    <t>RED CELESTE Y BLANCA</t>
  </si>
  <si>
    <t>REFRIGERACION DATSCH</t>
  </si>
  <si>
    <t>RENTEK S.A.</t>
  </si>
  <si>
    <t>REP. DE INST. MUSICA</t>
  </si>
  <si>
    <t>REPUBLICA FEDERAL DE</t>
  </si>
  <si>
    <t>RESCHIGNA Y CIA</t>
  </si>
  <si>
    <t>RETRO MUSICA de PROC</t>
  </si>
  <si>
    <t>REVOLUCION MUSICAL</t>
  </si>
  <si>
    <t>RIBOTTA DE BLANCO, M</t>
  </si>
  <si>
    <t>RICARDO AGUIRRE</t>
  </si>
  <si>
    <t>RICARDO KOISER.</t>
  </si>
  <si>
    <t>RICHARD TECLADOS</t>
  </si>
  <si>
    <t>RICORDI DE JURICICH</t>
  </si>
  <si>
    <t>RIM TV S.R.L</t>
  </si>
  <si>
    <t>RIMEKLER S.A.</t>
  </si>
  <si>
    <t>RINCON ANDALUZ S.R.L</t>
  </si>
  <si>
    <t>RIOS JORGE ADRIAN</t>
  </si>
  <si>
    <t>RIVA S.A..I.I.C.F.A.</t>
  </si>
  <si>
    <t>RIVAROSSA FLORENTINO</t>
  </si>
  <si>
    <t>ROCKERS</t>
  </si>
  <si>
    <t>RODO HOGAR S.A.</t>
  </si>
  <si>
    <t>RODRIGUEZ JOSE MARIA</t>
  </si>
  <si>
    <t>RODRIGUEZ MAXIMO</t>
  </si>
  <si>
    <t>RODRIGUEZ SILVIA NOE</t>
  </si>
  <si>
    <t>ROGATTI GUITAR CENTE</t>
  </si>
  <si>
    <t>ROMAN S.A.C.</t>
  </si>
  <si>
    <t>ROMULO GARCIA DE LID</t>
  </si>
  <si>
    <t>RONCO MARIA DEL CARM</t>
  </si>
  <si>
    <t>ROSA FERNANDO</t>
  </si>
  <si>
    <t>ROSAENZ MUSICA</t>
  </si>
  <si>
    <t>ROSELLLA MARIA FRANC</t>
  </si>
  <si>
    <t>ROTGER MARTIN</t>
  </si>
  <si>
    <t>ROYAL HOUSE</t>
  </si>
  <si>
    <t>RTM SISTEMAS S.A.</t>
  </si>
  <si>
    <t>RUBEN GOLDIN</t>
  </si>
  <si>
    <t>RUBICINI JORGE</t>
  </si>
  <si>
    <t>RUBRIMAT S.R.L</t>
  </si>
  <si>
    <t>RUPNIK IRENE Y GORDI</t>
  </si>
  <si>
    <t>S.A.M.</t>
  </si>
  <si>
    <t>SADOC</t>
  </si>
  <si>
    <t>SAEZ JULIO CESAR</t>
  </si>
  <si>
    <t>SAITTA CARMELO</t>
  </si>
  <si>
    <t>SALAS CLAUDIO MANUEL</t>
  </si>
  <si>
    <t>SAMALEA FERNANDO</t>
  </si>
  <si>
    <t>SAN TELMO ARTE CLUB</t>
  </si>
  <si>
    <t>SANCHEZ MARCELO FABI</t>
  </si>
  <si>
    <t>SANJURJO FERNANDO GU</t>
  </si>
  <si>
    <t>SANTA FE SONIDO DE G</t>
  </si>
  <si>
    <t>SANTORO, DIEGO PABLO</t>
  </si>
  <si>
    <t>SAVELON LEANDRO MART</t>
  </si>
  <si>
    <t>SAVOIA JUAN CARLOS</t>
  </si>
  <si>
    <t>SCARSINI AMARILIS C</t>
  </si>
  <si>
    <t>SCHENKER ARGENTINA.</t>
  </si>
  <si>
    <t>SCORZA RUBEN</t>
  </si>
  <si>
    <t>SEC DE ESTADO DE CUL</t>
  </si>
  <si>
    <t>SELENIUM</t>
  </si>
  <si>
    <t>SEMIFUSA CASA DE MUS</t>
  </si>
  <si>
    <t>SENTRY MUSIC de ALVA</t>
  </si>
  <si>
    <t>SEPIURCA ADRIAN SAMU</t>
  </si>
  <si>
    <t>SERVICIOS DE LOGISTI</t>
  </si>
  <si>
    <t>SICOMPRA S.A</t>
  </si>
  <si>
    <t>SIEMPRE MUSICA</t>
  </si>
  <si>
    <t>SIGMA DELTA SRL</t>
  </si>
  <si>
    <t>SILENKA</t>
  </si>
  <si>
    <t>SILTRAN AUDIO</t>
  </si>
  <si>
    <t>SINIGAGLIA PABLO ROM</t>
  </si>
  <si>
    <t>SINK</t>
  </si>
  <si>
    <t>SINSO HORACIO FRANCI</t>
  </si>
  <si>
    <t>SISERPEM S.A.</t>
  </si>
  <si>
    <t>SISTEC</t>
  </si>
  <si>
    <t>SISTEFA</t>
  </si>
  <si>
    <t>SISTEMAS DE VIDEO CO</t>
  </si>
  <si>
    <t>SISTEMAS Y SONIDO S.</t>
  </si>
  <si>
    <t>SOCIEDAD DE DIST DE</t>
  </si>
  <si>
    <t>SOLO MUSICA</t>
  </si>
  <si>
    <t>SOLUCIONES S.A.</t>
  </si>
  <si>
    <t>SONIDO DE JORGE LEON</t>
  </si>
  <si>
    <t>SONIDO FALCO SRL</t>
  </si>
  <si>
    <t>SONIDOS</t>
  </si>
  <si>
    <t>SONIDOS CENTER S.A</t>
  </si>
  <si>
    <t>SONIDOS CENTER S.A.</t>
  </si>
  <si>
    <t>SONIDOVISION</t>
  </si>
  <si>
    <t>SONNEX DE JAUNARENA</t>
  </si>
  <si>
    <t>SONUS AUDIO/VIDEO.</t>
  </si>
  <si>
    <t>SONY BMG MUSIC ENTER</t>
  </si>
  <si>
    <t>SORIA PANCHO</t>
  </si>
  <si>
    <t>SORIANEX S.R.L.</t>
  </si>
  <si>
    <t>SOUL SONIDO</t>
  </si>
  <si>
    <t>SOUND CONNECTION</t>
  </si>
  <si>
    <t>SOUND PASS</t>
  </si>
  <si>
    <t>SOUND SHOP</t>
  </si>
  <si>
    <t>SOUNDCORP S.R.L.</t>
  </si>
  <si>
    <t>SOUNDTEC DE ALEJANDR</t>
  </si>
  <si>
    <t>SOUNDTEC S.R.L.</t>
  </si>
  <si>
    <t>SOUNDTOUCH / ARES PA</t>
  </si>
  <si>
    <t>SOUTH MUSIC DE VITAN</t>
  </si>
  <si>
    <t>SPAGOLLA</t>
  </si>
  <si>
    <t>SPANO GERARDO</t>
  </si>
  <si>
    <t>SPECTRUM</t>
  </si>
  <si>
    <t>SPEED KING S.H.</t>
  </si>
  <si>
    <t>STARC HECTOR LUIS</t>
  </si>
  <si>
    <t>STARC HECTOR LUIS Y</t>
  </si>
  <si>
    <t>START TV</t>
  </si>
  <si>
    <t>STEADI SYSTEM</t>
  </si>
  <si>
    <t>STRATO DE INNOCENTIS</t>
  </si>
  <si>
    <t>STUDIO G</t>
  </si>
  <si>
    <t>STYLO MAYOR</t>
  </si>
  <si>
    <t>SUANT S.R.L.</t>
  </si>
  <si>
    <t>SUAREZ EDUARDO JOSE</t>
  </si>
  <si>
    <t>SUAREZ NESTOR DARIO</t>
  </si>
  <si>
    <t>SUBSECRETARIA DE CUL</t>
  </si>
  <si>
    <t>SUPERMERCADOS NORTE</t>
  </si>
  <si>
    <t>SURROUND - HECTOR CO</t>
  </si>
  <si>
    <t>SUSANA GUZMAN SAAVED</t>
  </si>
  <si>
    <t>SUSANA MOYA</t>
  </si>
  <si>
    <t>SVET S.A.</t>
  </si>
  <si>
    <t>SWING</t>
  </si>
  <si>
    <t>SYLDA NORIEGA</t>
  </si>
  <si>
    <t>T.T.C. AUTO ARGENTIN</t>
  </si>
  <si>
    <t>TABIA CARLOS ALBERTO</t>
  </si>
  <si>
    <t>TABU</t>
  </si>
  <si>
    <t>TACCONE ANA LAURA</t>
  </si>
  <si>
    <t>TAKASE HIROSHI</t>
  </si>
  <si>
    <t>TAKASHI IKEGAMI (MIT</t>
  </si>
  <si>
    <t>TAL TEC S.R.L.</t>
  </si>
  <si>
    <t>TAVIS / TOSO GABRIEL</t>
  </si>
  <si>
    <t>TEC MUSIC S.A</t>
  </si>
  <si>
    <t>TECLADOS</t>
  </si>
  <si>
    <t>TECNO MUSIC</t>
  </si>
  <si>
    <t>TECNOGRAF S.A.</t>
  </si>
  <si>
    <t>TECNOLOGIA INFINITA</t>
  </si>
  <si>
    <t>TECNOMUNDO DE DANIEL</t>
  </si>
  <si>
    <t>TELE MUSIC S.A</t>
  </si>
  <si>
    <t>TEMAS</t>
  </si>
  <si>
    <t>TEPKO S.A.</t>
  </si>
  <si>
    <t>TERCER MILENIO EDITO</t>
  </si>
  <si>
    <t>THE CAPITA CORPORATI</t>
  </si>
  <si>
    <t>TOBINO SHUHEI</t>
  </si>
  <si>
    <t>TODO AUDIO (TUCUMAN)</t>
  </si>
  <si>
    <t>TODO AUDIO DE JULIAN</t>
  </si>
  <si>
    <t>TODO ELECTRONICA S.R</t>
  </si>
  <si>
    <t>TODOCAR SERRANO</t>
  </si>
  <si>
    <t>TODOMUSICA (NQN)</t>
  </si>
  <si>
    <t>TODOMUSICA S.A (C.F)</t>
  </si>
  <si>
    <t>TODOMUSICA S.A. (URU</t>
  </si>
  <si>
    <t>TODOVISION S.A.</t>
  </si>
  <si>
    <t>TONAR</t>
  </si>
  <si>
    <t>TONY MUSICA</t>
  </si>
  <si>
    <t>TOP LAB S.R.L.</t>
  </si>
  <si>
    <t>TOP MUSIC SRL</t>
  </si>
  <si>
    <t>TRACK MUSIC</t>
  </si>
  <si>
    <t>TRAMER SUR S.A.</t>
  </si>
  <si>
    <t>TRANSHARD S.A.</t>
  </si>
  <si>
    <t>TRIALCOM</t>
  </si>
  <si>
    <t>TUDELA SEBASTIAN JUL</t>
  </si>
  <si>
    <t>TV GROUP DE GRACIANI</t>
  </si>
  <si>
    <t>UNDER MUSIC DE CRIST</t>
  </si>
  <si>
    <t>UNDERGROUND DE MARPO</t>
  </si>
  <si>
    <t>UNIVERSAL PASEO DE C</t>
  </si>
  <si>
    <t>UNIVERSIDAD NAC.DE L</t>
  </si>
  <si>
    <t>UNIX AUDIO SISTEMAS</t>
  </si>
  <si>
    <t>V.S. AUDIO S.A.</t>
  </si>
  <si>
    <t>VALDEZ RAMON HECTOR</t>
  </si>
  <si>
    <t>VARSA S.A</t>
  </si>
  <si>
    <t>VEC S.R.L</t>
  </si>
  <si>
    <t>VEGA ADRIANA ERNESTI</t>
  </si>
  <si>
    <t>VICTOR A. MONTERROSA</t>
  </si>
  <si>
    <t>VICTOR HUGO VIOTTI</t>
  </si>
  <si>
    <t>VIDAL HOGAR S.A.</t>
  </si>
  <si>
    <t>VIDIMEN S.A.</t>
  </si>
  <si>
    <t>VIDITEC S.A</t>
  </si>
  <si>
    <t>VIDIUM S.R.L.</t>
  </si>
  <si>
    <t>VILLADANGOS VICTOR</t>
  </si>
  <si>
    <t>VITALE HECTOR FACUND</t>
  </si>
  <si>
    <t>VIZIOLI JUAN CARLOS</t>
  </si>
  <si>
    <t>WADEH S.A.</t>
  </si>
  <si>
    <t>WAL-MART ARGENTINA S</t>
  </si>
  <si>
    <t>WANG ELIZABETH</t>
  </si>
  <si>
    <t>WANZO PABLO SEBASTIA</t>
  </si>
  <si>
    <t>WARNER MUSIC ARG.</t>
  </si>
  <si>
    <t>WILKOK</t>
  </si>
  <si>
    <t>WILLY ARES PACHECO</t>
  </si>
  <si>
    <t>WILLY PASTRANA IMAGE</t>
  </si>
  <si>
    <t>WULFMAN ARIEL ALBERT</t>
  </si>
  <si>
    <t>WULLICH AUDIO VIDEO</t>
  </si>
  <si>
    <t>XENON SERVICIOS</t>
  </si>
  <si>
    <t>XONOX ARGENTINA S.R.</t>
  </si>
  <si>
    <t>YAMA MUSIC DE MISTRA</t>
  </si>
  <si>
    <t>Yamaha MUSIC Arg</t>
  </si>
  <si>
    <t>YAMAHA_MUSIC C.(Sr.M</t>
  </si>
  <si>
    <t>YAMAHA_MUSIC C.(Sr.S</t>
  </si>
  <si>
    <t>YAMAHA_MUSIC MOTOR A</t>
  </si>
  <si>
    <t>YAMAHA_MUSIC MUSIC L</t>
  </si>
  <si>
    <t>YAMAHA_MUSIC MUSICAL</t>
  </si>
  <si>
    <t>YAMAIMPORT LIMITADA</t>
  </si>
  <si>
    <t>YAMAKAWA NANCY</t>
  </si>
  <si>
    <t>YAMAMUSIC</t>
  </si>
  <si>
    <t>YAMASHITA, TAKAHIRO</t>
  </si>
  <si>
    <t>YEHUIN</t>
  </si>
  <si>
    <t>YIELY</t>
  </si>
  <si>
    <t>YOSHIMURA KAZUYO</t>
  </si>
  <si>
    <t>ZAGARI HOGAR</t>
  </si>
  <si>
    <t>ZAITSU ETSUKO</t>
  </si>
  <si>
    <t>DANNYS INST. MUS S.</t>
  </si>
  <si>
    <t>SUCESION DE STEFANIC</t>
  </si>
  <si>
    <t>SUCESION DE CURA ELI</t>
  </si>
  <si>
    <t>ROCK N ROLL MUSIC</t>
  </si>
  <si>
    <t>PASCHKUS, RICARDO LU</t>
  </si>
  <si>
    <t>ROCK Nｴ ROLL MUSIC</t>
  </si>
  <si>
    <t>SOUND IMAGE</t>
  </si>
  <si>
    <t>JORGE R BUSTOS</t>
  </si>
  <si>
    <t>MAR AND S INSTRUMEN</t>
  </si>
  <si>
    <t>MARCELO GUSTAVO CAMP</t>
  </si>
  <si>
    <t>EL GARAGE DE ALDO</t>
  </si>
  <si>
    <t>UNIVERSIDAD TORCUATO</t>
  </si>
  <si>
    <t>ALBERTO GOMEZ</t>
  </si>
  <si>
    <t>ELBIO VILLAFANE</t>
  </si>
  <si>
    <t>Jose Nicolas Lopez</t>
  </si>
  <si>
    <t>LACE</t>
  </si>
  <si>
    <t>UNIVERSIDAD ARGENTIN</t>
  </si>
  <si>
    <t>ASOCIACION ARGENTINA</t>
  </si>
  <si>
    <t>RICARDO AMIGORENA</t>
  </si>
  <si>
    <t xml:space="preserve">JARDIN MATERNAL N°6 </t>
  </si>
  <si>
    <t>ARCAUTE RAFAEL IGNAC</t>
  </si>
  <si>
    <t>THEATER SOUND</t>
  </si>
  <si>
    <t>NIEVA MATIAS EZEQUIE</t>
  </si>
  <si>
    <t>UNIVERSIDAD NACIONAL DE QUILMES</t>
  </si>
  <si>
    <t>MABEL BEATRIZ ROMERO</t>
  </si>
  <si>
    <t>BACKSTAGE MUSIC</t>
  </si>
  <si>
    <t>CONDRAC MATIAS Y PEN</t>
  </si>
  <si>
    <t>ITAL MUSIC S.A.</t>
  </si>
  <si>
    <t xml:space="preserve">ASOC. COOP ESC. </t>
  </si>
  <si>
    <t>PUNTA CHICA RECORDS</t>
  </si>
  <si>
    <t>SUAREZ MUSICA S.R.L.</t>
  </si>
  <si>
    <t>MARIANO ESTEBAN CHRI</t>
  </si>
  <si>
    <t>FUNDACION KONEX</t>
  </si>
  <si>
    <t>COMUNICACIONES FUE</t>
  </si>
  <si>
    <t>BAIRES ROCKS S.R.L.</t>
  </si>
  <si>
    <t>HOSPITAL INFANTO JUV</t>
  </si>
  <si>
    <t>BARTOLINO ALEJANDRO</t>
  </si>
  <si>
    <t>RE-CREO INSTRUMENTSO</t>
  </si>
  <si>
    <t>BARRI EMILIANO Y BAR</t>
  </si>
  <si>
    <t>ASOC. COOP.</t>
  </si>
  <si>
    <t>MONTI, MARIA ESTELA</t>
  </si>
  <si>
    <t>NICOLAS GUERSCHBERG</t>
  </si>
  <si>
    <t>DW SOUND SYSTEMS</t>
  </si>
  <si>
    <t>FABIAN QUINTERO</t>
  </si>
  <si>
    <t>SILVIA SUSANA CORVAL</t>
  </si>
  <si>
    <t>GOMEZ LUIS MARIO</t>
  </si>
  <si>
    <t>JORGE FABIﾁN CHAVES</t>
  </si>
  <si>
    <t>ROBERTO CANALE S.A.</t>
  </si>
  <si>
    <t>EMMANUEL HORVILLEUR</t>
  </si>
  <si>
    <t>PABLO ALEJANDRO HERN</t>
  </si>
  <si>
    <t>MUSIKALIA ASOC. CIVI</t>
  </si>
  <si>
    <t>ORGANIZACION SIONIST</t>
  </si>
  <si>
    <t>MARIA NOEL LUZARDO F</t>
  </si>
  <si>
    <t>INDUBBIO S.A.</t>
  </si>
  <si>
    <t>ANDRES IGNACIO STAHL</t>
  </si>
  <si>
    <t>FINN LUCAS IGNACIO</t>
  </si>
  <si>
    <t>FERNANDEZ MARIA CONC</t>
  </si>
  <si>
    <t>GARDELIN GERARDO</t>
  </si>
  <si>
    <t>ASOC. COOP. E. BONOR</t>
  </si>
  <si>
    <t>MARGARITA CELIA TETT</t>
  </si>
  <si>
    <t>EDGARDO FABIAN CARTI</t>
  </si>
  <si>
    <t>FUNDACION EXACTA</t>
  </si>
  <si>
    <t>CUERDASHOP</t>
  </si>
  <si>
    <t>DANIEL MARTIN PELLIZ</t>
  </si>
  <si>
    <t>HG HERMANOS S.A.</t>
  </si>
  <si>
    <t>LEF CASA DE MUSICA</t>
  </si>
  <si>
    <t>VOODOO MUSIC de GUST</t>
  </si>
  <si>
    <t>FRANCO JULIAN DOMING</t>
  </si>
  <si>
    <t>RIVES HERMANOS S.R.L</t>
  </si>
  <si>
    <t>SIMISOL de EZEQUIEL</t>
  </si>
  <si>
    <t>BOKIN S.A.</t>
  </si>
  <si>
    <t>INES AESCHBACHER</t>
  </si>
  <si>
    <t>ANTONIO PRADAL</t>
  </si>
  <si>
    <t>QUESEAROCK S.A.</t>
  </si>
  <si>
    <t>JUAN MANUEL GONZALEZ</t>
  </si>
  <si>
    <t>ROBERTO CARLOS NARVA</t>
  </si>
  <si>
    <t>HOUSE MUSIC DE RUBEN</t>
  </si>
  <si>
    <t>DANIEL HORACIO LEZCA</t>
  </si>
  <si>
    <t>MUNICIPALIDAD DE AVE</t>
  </si>
  <si>
    <t>SEBASTIAN ARMADA</t>
  </si>
  <si>
    <t>CALLE 45 Nｰ 580 ENTRE 6 Y 7</t>
  </si>
  <si>
    <t>EL CODIGO 33 S.R.L.</t>
  </si>
  <si>
    <t>KAIRON MUSIC SRL</t>
  </si>
  <si>
    <t>CANT PEDIDOS:</t>
  </si>
  <si>
    <t>CANT LINEAS:</t>
  </si>
  <si>
    <t>CANT UNIDADES:</t>
  </si>
  <si>
    <t>PERCIBIR EL TIEMPO S</t>
  </si>
  <si>
    <t>LORUSSO CONSTRUCTORA</t>
  </si>
  <si>
    <t>Good Stock</t>
  </si>
  <si>
    <t>DD-MM-YYYY</t>
  </si>
  <si>
    <t>VARCHAR2</t>
  </si>
  <si>
    <t>DATE</t>
  </si>
  <si>
    <t>COUNTRY</t>
  </si>
  <si>
    <t>POSTCODE</t>
  </si>
  <si>
    <t>COUNTY</t>
  </si>
  <si>
    <t>TOWN</t>
  </si>
  <si>
    <t>ADDRESS2</t>
  </si>
  <si>
    <t>ADDRESS1</t>
  </si>
  <si>
    <t>NAME</t>
  </si>
  <si>
    <t>CONTACT_EMAIL</t>
  </si>
  <si>
    <t>CONTACT_FAX</t>
  </si>
  <si>
    <t>CONTACT_PHONE</t>
  </si>
  <si>
    <t>CONTACT</t>
  </si>
  <si>
    <t>CUSTOMER_ID</t>
  </si>
  <si>
    <t>SHIPMENT_GROUP</t>
  </si>
  <si>
    <t>INSTRUCTIONS</t>
  </si>
  <si>
    <t>PURCHASE_ORDER</t>
  </si>
  <si>
    <t>SHIP_BY_DATE</t>
  </si>
  <si>
    <t>ORDER_ID</t>
  </si>
  <si>
    <t>Country</t>
  </si>
  <si>
    <t>Postal code</t>
  </si>
  <si>
    <t>County</t>
  </si>
  <si>
    <t>Town</t>
  </si>
  <si>
    <t>Address line 2</t>
  </si>
  <si>
    <t>Address line 1</t>
  </si>
  <si>
    <t>Name</t>
  </si>
  <si>
    <t>Email</t>
  </si>
  <si>
    <t>Fax</t>
  </si>
  <si>
    <t>Phone</t>
  </si>
  <si>
    <t>Contact</t>
  </si>
  <si>
    <t>Customer ID</t>
  </si>
  <si>
    <t>Shipment group</t>
  </si>
  <si>
    <t>Delivery note text</t>
  </si>
  <si>
    <t>Customer order ID</t>
  </si>
  <si>
    <t>Ship by date</t>
  </si>
  <si>
    <t>Order ID</t>
  </si>
  <si>
    <t>NUMBER</t>
  </si>
  <si>
    <t>LOCK_CODE</t>
  </si>
  <si>
    <t>SHELF_LIFE_DAYS</t>
  </si>
  <si>
    <t>SERIAL_NUMBER</t>
  </si>
  <si>
    <t>QTY_ORDERED</t>
  </si>
  <si>
    <t>CONDITION_ID</t>
  </si>
  <si>
    <t>TRACKING_LEVEL</t>
  </si>
  <si>
    <t>SKU_ID</t>
  </si>
  <si>
    <t>LINE_ID</t>
  </si>
  <si>
    <t>Allocate expired inventory</t>
  </si>
  <si>
    <t>Override shelf life</t>
  </si>
  <si>
    <t>Serial number</t>
  </si>
  <si>
    <t>Quantity</t>
  </si>
  <si>
    <t>Condition ID</t>
  </si>
  <si>
    <t>Tracking level</t>
  </si>
  <si>
    <t>SKU number</t>
  </si>
  <si>
    <t>Line ID</t>
  </si>
  <si>
    <t>EA</t>
  </si>
  <si>
    <t>TIPO</t>
  </si>
  <si>
    <t>FECHA</t>
  </si>
  <si>
    <t>SKU</t>
  </si>
  <si>
    <t>CANT</t>
  </si>
  <si>
    <t>RAZON SOCIAL</t>
  </si>
  <si>
    <t>DIRECCION</t>
  </si>
  <si>
    <t>LOCALIDAD</t>
  </si>
  <si>
    <t>ESTADO</t>
  </si>
  <si>
    <t>STATUS</t>
  </si>
  <si>
    <t>VALIDACION</t>
  </si>
  <si>
    <t>ID_CLI</t>
  </si>
  <si>
    <t/>
  </si>
  <si>
    <t>COD_POS</t>
  </si>
  <si>
    <t>ANTIGUA CASA NUNEZ</t>
  </si>
  <si>
    <t>ESCUELA NUM 2</t>
  </si>
  <si>
    <t>LA ESTRELLA ESPANOLA</t>
  </si>
  <si>
    <t>IBANEZ DIEGO LEONEL</t>
  </si>
  <si>
    <t>ESCUELA DE MUSICA CO</t>
  </si>
  <si>
    <t>INSTITUCION SALESIAN</t>
  </si>
  <si>
    <t>ASOCIACION CULTRUAL</t>
  </si>
  <si>
    <t>TEATRO SANTA MARIA</t>
  </si>
  <si>
    <t>YPT360</t>
  </si>
  <si>
    <t>YA MUSIC de MIRI-LARRABURU S.H.</t>
  </si>
  <si>
    <t>AV. LURO 3367</t>
  </si>
  <si>
    <t>MAR DEL PLATA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</si>
</sst>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64" formatCode="dd\-mm\-yyyy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0"/>
      <color theme="1"/>
      <name val="Tahoma"/>
      <family val="2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name val="Tahoma"/>
      <family val="2"/>
    </font>
    <font>
      <b/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0"/>
      <name val="Arial"/>
      <family val="2"/>
    </font>
    <font>
      <b/>
      <sz val="14"/>
      <color theme="0"/>
      <name val="Arial"/>
      <family val="2"/>
    </font>
    <font>
      <b/>
      <i/>
      <sz val="10"/>
      <color theme="0"/>
      <name val="Arial"/>
      <family val="2"/>
    </font>
    <font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6B8E23"/>
      </patternFill>
    </fill>
    <fill>
      <patternFill patternType="solid">
        <fgColor indexed="61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/>
      <right style="thin">
        <color indexed="62"/>
      </right>
      <top/>
      <bottom/>
      <diagonal/>
    </border>
  </borders>
  <cellStyleXfs count="17">
    <xf numFmtId="0" fontId="0" fillId="0" borderId="0"/>
    <xf numFmtId="0" fontId="3" fillId="0" borderId="0"/>
    <xf numFmtId="0" fontId="9" fillId="3" borderId="0"/>
    <xf numFmtId="0" fontId="9" fillId="3" borderId="0">
      <alignment horizontal="center"/>
    </xf>
    <xf numFmtId="0" fontId="3" fillId="0" borderId="0"/>
    <xf numFmtId="0" fontId="3" fillId="0" borderId="0"/>
    <xf numFmtId="0" fontId="5" fillId="0" borderId="0"/>
    <xf numFmtId="0" fontId="10" fillId="0" borderId="0"/>
    <xf numFmtId="9" fontId="11" fillId="0" borderId="0" applyFont="0" applyFill="0" applyBorder="0" applyAlignment="0" applyProtection="0"/>
    <xf numFmtId="0" fontId="2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5" fillId="0" borderId="0"/>
  </cellStyleXfs>
  <cellXfs count="66">
    <xf numFmtId="0" fontId="0" fillId="0" borderId="0" xfId="0"/>
    <xf numFmtId="0" fontId="7" fillId="2" borderId="3" xfId="1" applyFont="1" applyFill="1" applyBorder="1"/>
    <xf numFmtId="0" fontId="3" fillId="0" borderId="0" xfId="1"/>
    <xf numFmtId="0" fontId="8" fillId="0" borderId="3" xfId="1" applyFont="1" applyBorder="1"/>
    <xf numFmtId="49" fontId="4" fillId="0" borderId="3" xfId="1" applyNumberFormat="1" applyFont="1" applyBorder="1"/>
    <xf numFmtId="49" fontId="4" fillId="0" borderId="3" xfId="1" applyNumberFormat="1" applyFont="1" applyFill="1" applyBorder="1"/>
    <xf numFmtId="0" fontId="8" fillId="0" borderId="3" xfId="1" applyFont="1" applyFill="1" applyBorder="1"/>
    <xf numFmtId="41" fontId="3" fillId="0" borderId="0" xfId="1" applyNumberFormat="1"/>
    <xf numFmtId="14" fontId="7" fillId="2" borderId="3" xfId="1" applyNumberFormat="1" applyFont="1" applyFill="1" applyBorder="1"/>
    <xf numFmtId="14" fontId="3" fillId="0" borderId="3" xfId="1" applyNumberFormat="1" applyBorder="1"/>
    <xf numFmtId="14" fontId="3" fillId="0" borderId="0" xfId="1" applyNumberFormat="1"/>
    <xf numFmtId="14" fontId="12" fillId="0" borderId="3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8" fillId="0" borderId="3" xfId="0" applyFont="1" applyBorder="1"/>
    <xf numFmtId="0" fontId="13" fillId="0" borderId="4" xfId="0" applyNumberFormat="1" applyFont="1" applyFill="1" applyBorder="1" applyAlignment="1" applyProtection="1">
      <alignment horizontal="left" vertical="top" wrapText="1"/>
    </xf>
    <xf numFmtId="0" fontId="13" fillId="4" borderId="4" xfId="0" applyNumberFormat="1" applyFont="1" applyFill="1" applyBorder="1" applyAlignment="1" applyProtection="1">
      <alignment horizontal="left" vertical="top" wrapText="1"/>
    </xf>
    <xf numFmtId="0" fontId="13" fillId="0" borderId="3" xfId="0" applyFont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0" fillId="0" borderId="0" xfId="0"/>
    <xf numFmtId="0" fontId="1" fillId="0" borderId="0" xfId="14" applyProtection="1"/>
    <xf numFmtId="49" fontId="5" fillId="6" borderId="0" xfId="15" applyNumberFormat="1" applyFill="1" applyAlignment="1" applyProtection="1">
      <alignment horizontal="center"/>
    </xf>
    <xf numFmtId="0" fontId="5" fillId="6" borderId="0" xfId="15" applyNumberFormat="1" applyFill="1" applyAlignment="1" applyProtection="1">
      <alignment horizontal="center"/>
    </xf>
    <xf numFmtId="49" fontId="6" fillId="6" borderId="0" xfId="15" applyNumberFormat="1" applyFont="1" applyFill="1" applyAlignment="1" applyProtection="1">
      <alignment horizontal="center"/>
    </xf>
    <xf numFmtId="49" fontId="6" fillId="7" borderId="0" xfId="15" applyNumberFormat="1" applyFont="1" applyFill="1" applyAlignment="1" applyProtection="1">
      <alignment horizontal="center"/>
    </xf>
    <xf numFmtId="49" fontId="5" fillId="6" borderId="0" xfId="16" applyNumberFormat="1" applyFill="1" applyAlignment="1" applyProtection="1">
      <alignment horizontal="center"/>
    </xf>
    <xf numFmtId="49" fontId="6" fillId="6" borderId="0" xfId="16" applyNumberFormat="1" applyFont="1" applyFill="1" applyAlignment="1" applyProtection="1">
      <alignment horizontal="center"/>
    </xf>
    <xf numFmtId="49" fontId="6" fillId="7" borderId="0" xfId="16" applyNumberFormat="1" applyFont="1" applyFill="1" applyAlignment="1" applyProtection="1">
      <alignment horizontal="center"/>
    </xf>
    <xf numFmtId="0" fontId="17" fillId="0" borderId="0" xfId="14" applyFont="1" applyAlignment="1" applyProtection="1">
      <alignment horizontal="left"/>
      <protection locked="0"/>
    </xf>
    <xf numFmtId="164" fontId="6" fillId="7" borderId="0" xfId="15" applyNumberFormat="1" applyFont="1" applyFill="1" applyAlignment="1" applyProtection="1">
      <alignment horizontal="center"/>
    </xf>
    <xf numFmtId="164" fontId="5" fillId="6" borderId="0" xfId="15" applyNumberFormat="1" applyFill="1" applyAlignment="1" applyProtection="1">
      <alignment horizontal="center"/>
    </xf>
    <xf numFmtId="164" fontId="0" fillId="0" borderId="0" xfId="0" applyNumberFormat="1"/>
    <xf numFmtId="164" fontId="17" fillId="0" borderId="0" xfId="14" applyNumberFormat="1" applyFont="1" applyAlignment="1" applyProtection="1">
      <alignment horizontal="left"/>
      <protection locked="0"/>
    </xf>
    <xf numFmtId="0" fontId="18" fillId="0" borderId="0" xfId="14" applyFont="1" applyAlignment="1" applyProtection="1">
      <alignment horizontal="right"/>
      <protection locked="0"/>
    </xf>
    <xf numFmtId="164" fontId="18" fillId="0" borderId="0" xfId="14" applyNumberFormat="1" applyFont="1" applyAlignment="1" applyProtection="1">
      <alignment horizontal="right"/>
      <protection locked="0"/>
    </xf>
    <xf numFmtId="0" fontId="19" fillId="0" borderId="0" xfId="14" applyFont="1" applyAlignment="1" applyProtection="1">
      <alignment horizontal="left"/>
      <protection locked="0"/>
    </xf>
    <xf numFmtId="1" fontId="18" fillId="0" borderId="0" xfId="14" applyNumberFormat="1" applyFont="1" applyAlignment="1" applyProtection="1">
      <alignment horizontal="right"/>
      <protection locked="0"/>
    </xf>
    <xf numFmtId="49" fontId="18" fillId="0" borderId="0" xfId="14" applyNumberFormat="1" applyFont="1" applyAlignment="1" applyProtection="1">
      <alignment horizontal="right"/>
      <protection locked="0"/>
    </xf>
    <xf numFmtId="14" fontId="18" fillId="0" borderId="0" xfId="14" applyNumberFormat="1" applyFont="1" applyAlignment="1" applyProtection="1">
      <alignment horizontal="right"/>
      <protection locked="0"/>
    </xf>
    <xf numFmtId="0" fontId="14" fillId="5" borderId="0" xfId="0" applyFont="1" applyFill="1" applyBorder="1" applyAlignment="1">
      <alignment vertical="center"/>
    </xf>
    <xf numFmtId="0" fontId="0" fillId="5" borderId="0" xfId="0" applyFill="1" applyBorder="1"/>
    <xf numFmtId="0" fontId="0" fillId="5" borderId="0" xfId="0" applyFill="1" applyBorder="1" applyAlignment="1">
      <alignment horizontal="left"/>
    </xf>
    <xf numFmtId="14" fontId="0" fillId="5" borderId="0" xfId="0" applyNumberFormat="1" applyFill="1" applyBorder="1"/>
    <xf numFmtId="0" fontId="21" fillId="8" borderId="0" xfId="0" applyFont="1" applyFill="1" applyBorder="1" applyAlignment="1">
      <alignment horizontal="center" vertical="center"/>
    </xf>
    <xf numFmtId="0" fontId="21" fillId="8" borderId="0" xfId="0" applyFont="1" applyFill="1" applyBorder="1" applyAlignment="1">
      <alignment horizontal="left" vertical="center"/>
    </xf>
    <xf numFmtId="0" fontId="21" fillId="8" borderId="0" xfId="0" applyFont="1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23" fillId="8" borderId="0" xfId="0" applyFont="1" applyFill="1" applyBorder="1"/>
    <xf numFmtId="0" fontId="22" fillId="8" borderId="0" xfId="0" applyFont="1" applyFill="1" applyBorder="1" applyAlignment="1">
      <alignment horizontal="right" vertical="center"/>
    </xf>
    <xf numFmtId="0" fontId="20" fillId="8" borderId="0" xfId="0" applyFont="1" applyFill="1" applyBorder="1" applyAlignment="1">
      <alignment vertical="center"/>
    </xf>
    <xf numFmtId="0" fontId="16" fillId="9" borderId="0" xfId="0" applyFont="1" applyFill="1" applyBorder="1" applyAlignment="1" applyProtection="1">
      <alignment horizontal="center" vertical="center"/>
      <protection hidden="1"/>
    </xf>
    <xf numFmtId="0" fontId="13" fillId="0" borderId="1" xfId="0" applyFont="1" applyBorder="1" applyAlignment="1">
      <alignment vertical="center"/>
    </xf>
    <xf numFmtId="0" fontId="13" fillId="5" borderId="7" xfId="0" applyNumberFormat="1" applyFont="1" applyFill="1" applyBorder="1" applyAlignment="1" applyProtection="1">
      <alignment horizontal="left" vertical="center" wrapText="1"/>
    </xf>
    <xf numFmtId="0" fontId="13" fillId="5" borderId="5" xfId="0" applyNumberFormat="1" applyFont="1" applyFill="1" applyBorder="1" applyAlignment="1" applyProtection="1">
      <alignment horizontal="left" vertical="center" wrapText="1"/>
    </xf>
    <xf numFmtId="0" fontId="13" fillId="5" borderId="6" xfId="0" applyNumberFormat="1" applyFont="1" applyFill="1" applyBorder="1" applyAlignment="1" applyProtection="1">
      <alignment horizontal="left" vertical="center" wrapText="1"/>
    </xf>
    <xf numFmtId="0" fontId="13" fillId="0" borderId="6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5" borderId="0" xfId="0" applyNumberFormat="1" applyFont="1" applyFill="1" applyBorder="1" applyAlignment="1" applyProtection="1">
      <alignment horizontal="left" vertical="center" wrapText="1"/>
    </xf>
    <xf numFmtId="0" fontId="13" fillId="0" borderId="0" xfId="0" applyFont="1" applyBorder="1" applyAlignment="1">
      <alignment vertical="center"/>
    </xf>
    <xf numFmtId="0" fontId="13" fillId="5" borderId="3" xfId="0" applyNumberFormat="1" applyFont="1" applyFill="1" applyBorder="1" applyAlignment="1" applyProtection="1">
      <alignment horizontal="left" vertical="center" wrapText="1"/>
    </xf>
    <xf numFmtId="0" fontId="13" fillId="0" borderId="8" xfId="0" applyFont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0" fillId="0" borderId="0" xfId="0" applyAlignment="1">
      <alignment vertical="center"/>
    </xf>
  </cellXfs>
  <cellStyles count="17">
    <cellStyle name="FilteredHeader" xfId="2" xr:uid="{00000000-0005-0000-0000-000000000000}"/>
    <cellStyle name="Header" xfId="3" xr:uid="{00000000-0005-0000-0000-000001000000}"/>
    <cellStyle name="Normal" xfId="0" builtinId="0"/>
    <cellStyle name="Normal 18" xfId="4" xr:uid="{00000000-0005-0000-0000-000003000000}"/>
    <cellStyle name="Normal 18 2" xfId="12" xr:uid="{00000000-0005-0000-0000-000004000000}"/>
    <cellStyle name="Normal 19" xfId="5" xr:uid="{00000000-0005-0000-0000-000005000000}"/>
    <cellStyle name="Normal 19 2" xfId="13" xr:uid="{00000000-0005-0000-0000-000006000000}"/>
    <cellStyle name="Normal 2" xfId="1" xr:uid="{00000000-0005-0000-0000-000007000000}"/>
    <cellStyle name="Normal 2 2" xfId="11" xr:uid="{00000000-0005-0000-0000-000008000000}"/>
    <cellStyle name="Normal 22" xfId="6" xr:uid="{00000000-0005-0000-0000-000009000000}"/>
    <cellStyle name="Normal 3" xfId="7" xr:uid="{00000000-0005-0000-0000-00000A000000}"/>
    <cellStyle name="Normal 4" xfId="10" xr:uid="{00000000-0005-0000-0000-00000B000000}"/>
    <cellStyle name="Normal 5" xfId="9" xr:uid="{00000000-0005-0000-0000-00000C000000}"/>
    <cellStyle name="Normal 6" xfId="14" xr:uid="{00000000-0005-0000-0000-00000D000000}"/>
    <cellStyle name="Normal_OrderHeader" xfId="15" xr:uid="{00000000-0005-0000-0000-00000E000000}"/>
    <cellStyle name="Normal_OrderLine" xfId="16" xr:uid="{00000000-0005-0000-0000-00000F000000}"/>
    <cellStyle name="Porcentual 2" xfId="8" xr:uid="{00000000-0005-0000-0000-000010000000}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CDFDB212-993E-4806-B74B-96AC01C34DD2}">
      <tableStyleElement type="wholeTable" dxfId="6"/>
      <tableStyleElement type="headerRow" dxfId="5"/>
    </tableStyle>
  </tableStyles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276225</xdr:colOff>
      <xdr:row>0</xdr:row>
      <xdr:rowOff>133350</xdr:rowOff>
    </xdr:from>
    <xdr:to>
      <xdr:col>11</xdr:col>
      <xdr:colOff>200025</xdr:colOff>
      <xdr:row>2</xdr:row>
      <xdr:rowOff>133350</xdr:rowOff>
    </xdr:to>
    <xdr:sp macro="" textlink="">
      <xdr:nvSpPr>
        <xdr:cNvPr id="2049" name="CommandButton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276225</xdr:colOff>
      <xdr:row>0</xdr:row>
      <xdr:rowOff>133350</xdr:rowOff>
    </xdr:from>
    <xdr:to>
      <xdr:col>11</xdr:col>
      <xdr:colOff>685800</xdr:colOff>
      <xdr:row>3</xdr:row>
      <xdr:rowOff>66675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133350"/>
          <a:ext cx="1933575" cy="504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247650</xdr:rowOff>
    </xdr:from>
    <xdr:to>
      <xdr:col>11</xdr:col>
      <xdr:colOff>618565</xdr:colOff>
      <xdr:row>2</xdr:row>
      <xdr:rowOff>19050</xdr:rowOff>
    </xdr:to>
    <xdr:sp macro="" textlink="">
      <xdr:nvSpPr>
        <xdr:cNvPr id="7170" name="CommandButton1" hidden="1">
          <a:extLst>
            <a:ext uri="{63B3BB69-23CF-44E3-9099-C40C66FF867C}">
              <a14:compatExt xmlns:a14="http://schemas.microsoft.com/office/drawing/2010/main" spid="_x0000_s7170"/>
            </a:ext>
            <a:ext uri="{FF2B5EF4-FFF2-40B4-BE49-F238E27FC236}">
              <a16:creationId xmlns:a16="http://schemas.microsoft.com/office/drawing/2014/main" id="{00000000-0008-0000-0100-000002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286321</xdr:rowOff>
    </xdr:from>
    <xdr:to>
      <xdr:col>3</xdr:col>
      <xdr:colOff>342401</xdr:colOff>
      <xdr:row>2</xdr:row>
      <xdr:rowOff>68036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6321"/>
          <a:ext cx="1771151" cy="384317"/>
        </a:xfrm>
        <a:prstGeom prst="rect">
          <a:avLst/>
        </a:prstGeom>
      </xdr:spPr>
    </xdr:pic>
    <xdr:clientData/>
  </xdr:twoCellAnchor>
  <xdr:twoCellAnchor editAs="oneCell">
    <xdr:from>
      <xdr:col>4</xdr:col>
      <xdr:colOff>1317</xdr:colOff>
      <xdr:row>0</xdr:row>
      <xdr:rowOff>101538</xdr:rowOff>
    </xdr:from>
    <xdr:to>
      <xdr:col>6</xdr:col>
      <xdr:colOff>133156</xdr:colOff>
      <xdr:row>2</xdr:row>
      <xdr:rowOff>225903</xdr:rowOff>
    </xdr:to>
    <xdr:pic macro="[0]!Cargar_Pedido">
      <xdr:nvPicPr>
        <xdr:cNvPr id="4" name="Gráfico 3" descr="Flecha: giro a la derecha">
          <a:extLst>
            <a:ext uri="{FF2B5EF4-FFF2-40B4-BE49-F238E27FC236}">
              <a16:creationId xmlns:a16="http://schemas.microsoft.com/office/drawing/2014/main" id="{DB24256A-F040-4C89-A3E8-D3DB23A98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470041" y="101538"/>
          <a:ext cx="744160" cy="726967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  <xdr:twoCellAnchor editAs="oneCell">
    <xdr:from>
      <xdr:col>6</xdr:col>
      <xdr:colOff>474318</xdr:colOff>
      <xdr:row>0</xdr:row>
      <xdr:rowOff>88137</xdr:rowOff>
    </xdr:from>
    <xdr:to>
      <xdr:col>6</xdr:col>
      <xdr:colOff>1236318</xdr:colOff>
      <xdr:row>2</xdr:row>
      <xdr:rowOff>233813</xdr:rowOff>
    </xdr:to>
    <xdr:pic macro="[0]!Cargar_Express">
      <xdr:nvPicPr>
        <xdr:cNvPr id="8" name="Gráfico 7" descr="Lista">
          <a:extLst>
            <a:ext uri="{FF2B5EF4-FFF2-40B4-BE49-F238E27FC236}">
              <a16:creationId xmlns:a16="http://schemas.microsoft.com/office/drawing/2014/main" id="{310870F6-EDB0-4C5C-98F0-58B02326F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487328" y="88137"/>
          <a:ext cx="762000" cy="748278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edidos 3 de julio_2" growShrinkType="overwriteClear" connectionId="3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90"/>
  <sheetViews>
    <sheetView zoomScaleNormal="100" workbookViewId="0">
      <selection activeCell="G2" sqref="G2"/>
    </sheetView>
  </sheetViews>
  <sheetFormatPr baseColWidth="10" defaultColWidth="11.42578125" defaultRowHeight="15" x14ac:dyDescent="0.25"/>
  <cols>
    <col min="1" max="1" width="10.42578125" style="2" bestFit="1" customWidth="1"/>
    <col min="2" max="2" width="6.140625" style="2" bestFit="1" customWidth="1"/>
    <col min="3" max="3" width="50.28515625" style="2" bestFit="1" customWidth="1"/>
    <col min="4" max="4" width="9.42578125" style="2" customWidth="1"/>
    <col min="5" max="5" width="9.85546875" style="2" customWidth="1"/>
    <col min="6" max="6" width="11.140625" style="2" bestFit="1" customWidth="1"/>
    <col min="7" max="7" width="11.42578125" style="2" customWidth="1"/>
    <col min="8" max="8" width="18.5703125" style="10" customWidth="1"/>
    <col min="9" max="256" width="11.42578125" style="2"/>
    <col min="257" max="257" width="10.42578125" style="2" bestFit="1" customWidth="1"/>
    <col min="258" max="258" width="6.140625" style="2" bestFit="1" customWidth="1"/>
    <col min="259" max="259" width="50.28515625" style="2" bestFit="1" customWidth="1"/>
    <col min="260" max="260" width="9.42578125" style="2" customWidth="1"/>
    <col min="261" max="261" width="9.85546875" style="2" customWidth="1"/>
    <col min="262" max="262" width="11.140625" style="2" bestFit="1" customWidth="1"/>
    <col min="263" max="263" width="11.42578125" style="2" customWidth="1"/>
    <col min="264" max="264" width="18.5703125" style="2" customWidth="1"/>
    <col min="265" max="512" width="11.42578125" style="2"/>
    <col min="513" max="513" width="10.42578125" style="2" bestFit="1" customWidth="1"/>
    <col min="514" max="514" width="6.140625" style="2" bestFit="1" customWidth="1"/>
    <col min="515" max="515" width="50.28515625" style="2" bestFit="1" customWidth="1"/>
    <col min="516" max="516" width="9.42578125" style="2" customWidth="1"/>
    <col min="517" max="517" width="9.85546875" style="2" customWidth="1"/>
    <col min="518" max="518" width="11.140625" style="2" bestFit="1" customWidth="1"/>
    <col min="519" max="519" width="11.42578125" style="2" customWidth="1"/>
    <col min="520" max="520" width="18.5703125" style="2" customWidth="1"/>
    <col min="521" max="768" width="11.42578125" style="2"/>
    <col min="769" max="769" width="10.42578125" style="2" bestFit="1" customWidth="1"/>
    <col min="770" max="770" width="6.140625" style="2" bestFit="1" customWidth="1"/>
    <col min="771" max="771" width="50.28515625" style="2" bestFit="1" customWidth="1"/>
    <col min="772" max="772" width="9.42578125" style="2" customWidth="1"/>
    <col min="773" max="773" width="9.85546875" style="2" customWidth="1"/>
    <col min="774" max="774" width="11.140625" style="2" bestFit="1" customWidth="1"/>
    <col min="775" max="775" width="11.42578125" style="2" customWidth="1"/>
    <col min="776" max="776" width="18.5703125" style="2" customWidth="1"/>
    <col min="777" max="1024" width="11.42578125" style="2"/>
    <col min="1025" max="1025" width="10.42578125" style="2" bestFit="1" customWidth="1"/>
    <col min="1026" max="1026" width="6.140625" style="2" bestFit="1" customWidth="1"/>
    <col min="1027" max="1027" width="50.28515625" style="2" bestFit="1" customWidth="1"/>
    <col min="1028" max="1028" width="9.42578125" style="2" customWidth="1"/>
    <col min="1029" max="1029" width="9.85546875" style="2" customWidth="1"/>
    <col min="1030" max="1030" width="11.140625" style="2" bestFit="1" customWidth="1"/>
    <col min="1031" max="1031" width="11.42578125" style="2" customWidth="1"/>
    <col min="1032" max="1032" width="18.5703125" style="2" customWidth="1"/>
    <col min="1033" max="1280" width="11.42578125" style="2"/>
    <col min="1281" max="1281" width="10.42578125" style="2" bestFit="1" customWidth="1"/>
    <col min="1282" max="1282" width="6.140625" style="2" bestFit="1" customWidth="1"/>
    <col min="1283" max="1283" width="50.28515625" style="2" bestFit="1" customWidth="1"/>
    <col min="1284" max="1284" width="9.42578125" style="2" customWidth="1"/>
    <col min="1285" max="1285" width="9.85546875" style="2" customWidth="1"/>
    <col min="1286" max="1286" width="11.140625" style="2" bestFit="1" customWidth="1"/>
    <col min="1287" max="1287" width="11.42578125" style="2" customWidth="1"/>
    <col min="1288" max="1288" width="18.5703125" style="2" customWidth="1"/>
    <col min="1289" max="1536" width="11.42578125" style="2"/>
    <col min="1537" max="1537" width="10.42578125" style="2" bestFit="1" customWidth="1"/>
    <col min="1538" max="1538" width="6.140625" style="2" bestFit="1" customWidth="1"/>
    <col min="1539" max="1539" width="50.28515625" style="2" bestFit="1" customWidth="1"/>
    <col min="1540" max="1540" width="9.42578125" style="2" customWidth="1"/>
    <col min="1541" max="1541" width="9.85546875" style="2" customWidth="1"/>
    <col min="1542" max="1542" width="11.140625" style="2" bestFit="1" customWidth="1"/>
    <col min="1543" max="1543" width="11.42578125" style="2" customWidth="1"/>
    <col min="1544" max="1544" width="18.5703125" style="2" customWidth="1"/>
    <col min="1545" max="1792" width="11.42578125" style="2"/>
    <col min="1793" max="1793" width="10.42578125" style="2" bestFit="1" customWidth="1"/>
    <col min="1794" max="1794" width="6.140625" style="2" bestFit="1" customWidth="1"/>
    <col min="1795" max="1795" width="50.28515625" style="2" bestFit="1" customWidth="1"/>
    <col min="1796" max="1796" width="9.42578125" style="2" customWidth="1"/>
    <col min="1797" max="1797" width="9.85546875" style="2" customWidth="1"/>
    <col min="1798" max="1798" width="11.140625" style="2" bestFit="1" customWidth="1"/>
    <col min="1799" max="1799" width="11.42578125" style="2" customWidth="1"/>
    <col min="1800" max="1800" width="18.5703125" style="2" customWidth="1"/>
    <col min="1801" max="2048" width="11.42578125" style="2"/>
    <col min="2049" max="2049" width="10.42578125" style="2" bestFit="1" customWidth="1"/>
    <col min="2050" max="2050" width="6.140625" style="2" bestFit="1" customWidth="1"/>
    <col min="2051" max="2051" width="50.28515625" style="2" bestFit="1" customWidth="1"/>
    <col min="2052" max="2052" width="9.42578125" style="2" customWidth="1"/>
    <col min="2053" max="2053" width="9.85546875" style="2" customWidth="1"/>
    <col min="2054" max="2054" width="11.140625" style="2" bestFit="1" customWidth="1"/>
    <col min="2055" max="2055" width="11.42578125" style="2" customWidth="1"/>
    <col min="2056" max="2056" width="18.5703125" style="2" customWidth="1"/>
    <col min="2057" max="2304" width="11.42578125" style="2"/>
    <col min="2305" max="2305" width="10.42578125" style="2" bestFit="1" customWidth="1"/>
    <col min="2306" max="2306" width="6.140625" style="2" bestFit="1" customWidth="1"/>
    <col min="2307" max="2307" width="50.28515625" style="2" bestFit="1" customWidth="1"/>
    <col min="2308" max="2308" width="9.42578125" style="2" customWidth="1"/>
    <col min="2309" max="2309" width="9.85546875" style="2" customWidth="1"/>
    <col min="2310" max="2310" width="11.140625" style="2" bestFit="1" customWidth="1"/>
    <col min="2311" max="2311" width="11.42578125" style="2" customWidth="1"/>
    <col min="2312" max="2312" width="18.5703125" style="2" customWidth="1"/>
    <col min="2313" max="2560" width="11.42578125" style="2"/>
    <col min="2561" max="2561" width="10.42578125" style="2" bestFit="1" customWidth="1"/>
    <col min="2562" max="2562" width="6.140625" style="2" bestFit="1" customWidth="1"/>
    <col min="2563" max="2563" width="50.28515625" style="2" bestFit="1" customWidth="1"/>
    <col min="2564" max="2564" width="9.42578125" style="2" customWidth="1"/>
    <col min="2565" max="2565" width="9.85546875" style="2" customWidth="1"/>
    <col min="2566" max="2566" width="11.140625" style="2" bestFit="1" customWidth="1"/>
    <col min="2567" max="2567" width="11.42578125" style="2" customWidth="1"/>
    <col min="2568" max="2568" width="18.5703125" style="2" customWidth="1"/>
    <col min="2569" max="2816" width="11.42578125" style="2"/>
    <col min="2817" max="2817" width="10.42578125" style="2" bestFit="1" customWidth="1"/>
    <col min="2818" max="2818" width="6.140625" style="2" bestFit="1" customWidth="1"/>
    <col min="2819" max="2819" width="50.28515625" style="2" bestFit="1" customWidth="1"/>
    <col min="2820" max="2820" width="9.42578125" style="2" customWidth="1"/>
    <col min="2821" max="2821" width="9.85546875" style="2" customWidth="1"/>
    <col min="2822" max="2822" width="11.140625" style="2" bestFit="1" customWidth="1"/>
    <col min="2823" max="2823" width="11.42578125" style="2" customWidth="1"/>
    <col min="2824" max="2824" width="18.5703125" style="2" customWidth="1"/>
    <col min="2825" max="3072" width="11.42578125" style="2"/>
    <col min="3073" max="3073" width="10.42578125" style="2" bestFit="1" customWidth="1"/>
    <col min="3074" max="3074" width="6.140625" style="2" bestFit="1" customWidth="1"/>
    <col min="3075" max="3075" width="50.28515625" style="2" bestFit="1" customWidth="1"/>
    <col min="3076" max="3076" width="9.42578125" style="2" customWidth="1"/>
    <col min="3077" max="3077" width="9.85546875" style="2" customWidth="1"/>
    <col min="3078" max="3078" width="11.140625" style="2" bestFit="1" customWidth="1"/>
    <col min="3079" max="3079" width="11.42578125" style="2" customWidth="1"/>
    <col min="3080" max="3080" width="18.5703125" style="2" customWidth="1"/>
    <col min="3081" max="3328" width="11.42578125" style="2"/>
    <col min="3329" max="3329" width="10.42578125" style="2" bestFit="1" customWidth="1"/>
    <col min="3330" max="3330" width="6.140625" style="2" bestFit="1" customWidth="1"/>
    <col min="3331" max="3331" width="50.28515625" style="2" bestFit="1" customWidth="1"/>
    <col min="3332" max="3332" width="9.42578125" style="2" customWidth="1"/>
    <col min="3333" max="3333" width="9.85546875" style="2" customWidth="1"/>
    <col min="3334" max="3334" width="11.140625" style="2" bestFit="1" customWidth="1"/>
    <col min="3335" max="3335" width="11.42578125" style="2" customWidth="1"/>
    <col min="3336" max="3336" width="18.5703125" style="2" customWidth="1"/>
    <col min="3337" max="3584" width="11.42578125" style="2"/>
    <col min="3585" max="3585" width="10.42578125" style="2" bestFit="1" customWidth="1"/>
    <col min="3586" max="3586" width="6.140625" style="2" bestFit="1" customWidth="1"/>
    <col min="3587" max="3587" width="50.28515625" style="2" bestFit="1" customWidth="1"/>
    <col min="3588" max="3588" width="9.42578125" style="2" customWidth="1"/>
    <col min="3589" max="3589" width="9.85546875" style="2" customWidth="1"/>
    <col min="3590" max="3590" width="11.140625" style="2" bestFit="1" customWidth="1"/>
    <col min="3591" max="3591" width="11.42578125" style="2" customWidth="1"/>
    <col min="3592" max="3592" width="18.5703125" style="2" customWidth="1"/>
    <col min="3593" max="3840" width="11.42578125" style="2"/>
    <col min="3841" max="3841" width="10.42578125" style="2" bestFit="1" customWidth="1"/>
    <col min="3842" max="3842" width="6.140625" style="2" bestFit="1" customWidth="1"/>
    <col min="3843" max="3843" width="50.28515625" style="2" bestFit="1" customWidth="1"/>
    <col min="3844" max="3844" width="9.42578125" style="2" customWidth="1"/>
    <col min="3845" max="3845" width="9.85546875" style="2" customWidth="1"/>
    <col min="3846" max="3846" width="11.140625" style="2" bestFit="1" customWidth="1"/>
    <col min="3847" max="3847" width="11.42578125" style="2" customWidth="1"/>
    <col min="3848" max="3848" width="18.5703125" style="2" customWidth="1"/>
    <col min="3849" max="4096" width="11.42578125" style="2"/>
    <col min="4097" max="4097" width="10.42578125" style="2" bestFit="1" customWidth="1"/>
    <col min="4098" max="4098" width="6.140625" style="2" bestFit="1" customWidth="1"/>
    <col min="4099" max="4099" width="50.28515625" style="2" bestFit="1" customWidth="1"/>
    <col min="4100" max="4100" width="9.42578125" style="2" customWidth="1"/>
    <col min="4101" max="4101" width="9.85546875" style="2" customWidth="1"/>
    <col min="4102" max="4102" width="11.140625" style="2" bestFit="1" customWidth="1"/>
    <col min="4103" max="4103" width="11.42578125" style="2" customWidth="1"/>
    <col min="4104" max="4104" width="18.5703125" style="2" customWidth="1"/>
    <col min="4105" max="4352" width="11.42578125" style="2"/>
    <col min="4353" max="4353" width="10.42578125" style="2" bestFit="1" customWidth="1"/>
    <col min="4354" max="4354" width="6.140625" style="2" bestFit="1" customWidth="1"/>
    <col min="4355" max="4355" width="50.28515625" style="2" bestFit="1" customWidth="1"/>
    <col min="4356" max="4356" width="9.42578125" style="2" customWidth="1"/>
    <col min="4357" max="4357" width="9.85546875" style="2" customWidth="1"/>
    <col min="4358" max="4358" width="11.140625" style="2" bestFit="1" customWidth="1"/>
    <col min="4359" max="4359" width="11.42578125" style="2" customWidth="1"/>
    <col min="4360" max="4360" width="18.5703125" style="2" customWidth="1"/>
    <col min="4361" max="4608" width="11.42578125" style="2"/>
    <col min="4609" max="4609" width="10.42578125" style="2" bestFit="1" customWidth="1"/>
    <col min="4610" max="4610" width="6.140625" style="2" bestFit="1" customWidth="1"/>
    <col min="4611" max="4611" width="50.28515625" style="2" bestFit="1" customWidth="1"/>
    <col min="4612" max="4612" width="9.42578125" style="2" customWidth="1"/>
    <col min="4613" max="4613" width="9.85546875" style="2" customWidth="1"/>
    <col min="4614" max="4614" width="11.140625" style="2" bestFit="1" customWidth="1"/>
    <col min="4615" max="4615" width="11.42578125" style="2" customWidth="1"/>
    <col min="4616" max="4616" width="18.5703125" style="2" customWidth="1"/>
    <col min="4617" max="4864" width="11.42578125" style="2"/>
    <col min="4865" max="4865" width="10.42578125" style="2" bestFit="1" customWidth="1"/>
    <col min="4866" max="4866" width="6.140625" style="2" bestFit="1" customWidth="1"/>
    <col min="4867" max="4867" width="50.28515625" style="2" bestFit="1" customWidth="1"/>
    <col min="4868" max="4868" width="9.42578125" style="2" customWidth="1"/>
    <col min="4869" max="4869" width="9.85546875" style="2" customWidth="1"/>
    <col min="4870" max="4870" width="11.140625" style="2" bestFit="1" customWidth="1"/>
    <col min="4871" max="4871" width="11.42578125" style="2" customWidth="1"/>
    <col min="4872" max="4872" width="18.5703125" style="2" customWidth="1"/>
    <col min="4873" max="5120" width="11.42578125" style="2"/>
    <col min="5121" max="5121" width="10.42578125" style="2" bestFit="1" customWidth="1"/>
    <col min="5122" max="5122" width="6.140625" style="2" bestFit="1" customWidth="1"/>
    <col min="5123" max="5123" width="50.28515625" style="2" bestFit="1" customWidth="1"/>
    <col min="5124" max="5124" width="9.42578125" style="2" customWidth="1"/>
    <col min="5125" max="5125" width="9.85546875" style="2" customWidth="1"/>
    <col min="5126" max="5126" width="11.140625" style="2" bestFit="1" customWidth="1"/>
    <col min="5127" max="5127" width="11.42578125" style="2" customWidth="1"/>
    <col min="5128" max="5128" width="18.5703125" style="2" customWidth="1"/>
    <col min="5129" max="5376" width="11.42578125" style="2"/>
    <col min="5377" max="5377" width="10.42578125" style="2" bestFit="1" customWidth="1"/>
    <col min="5378" max="5378" width="6.140625" style="2" bestFit="1" customWidth="1"/>
    <col min="5379" max="5379" width="50.28515625" style="2" bestFit="1" customWidth="1"/>
    <col min="5380" max="5380" width="9.42578125" style="2" customWidth="1"/>
    <col min="5381" max="5381" width="9.85546875" style="2" customWidth="1"/>
    <col min="5382" max="5382" width="11.140625" style="2" bestFit="1" customWidth="1"/>
    <col min="5383" max="5383" width="11.42578125" style="2" customWidth="1"/>
    <col min="5384" max="5384" width="18.5703125" style="2" customWidth="1"/>
    <col min="5385" max="5632" width="11.42578125" style="2"/>
    <col min="5633" max="5633" width="10.42578125" style="2" bestFit="1" customWidth="1"/>
    <col min="5634" max="5634" width="6.140625" style="2" bestFit="1" customWidth="1"/>
    <col min="5635" max="5635" width="50.28515625" style="2" bestFit="1" customWidth="1"/>
    <col min="5636" max="5636" width="9.42578125" style="2" customWidth="1"/>
    <col min="5637" max="5637" width="9.85546875" style="2" customWidth="1"/>
    <col min="5638" max="5638" width="11.140625" style="2" bestFit="1" customWidth="1"/>
    <col min="5639" max="5639" width="11.42578125" style="2" customWidth="1"/>
    <col min="5640" max="5640" width="18.5703125" style="2" customWidth="1"/>
    <col min="5641" max="5888" width="11.42578125" style="2"/>
    <col min="5889" max="5889" width="10.42578125" style="2" bestFit="1" customWidth="1"/>
    <col min="5890" max="5890" width="6.140625" style="2" bestFit="1" customWidth="1"/>
    <col min="5891" max="5891" width="50.28515625" style="2" bestFit="1" customWidth="1"/>
    <col min="5892" max="5892" width="9.42578125" style="2" customWidth="1"/>
    <col min="5893" max="5893" width="9.85546875" style="2" customWidth="1"/>
    <col min="5894" max="5894" width="11.140625" style="2" bestFit="1" customWidth="1"/>
    <col min="5895" max="5895" width="11.42578125" style="2" customWidth="1"/>
    <col min="5896" max="5896" width="18.5703125" style="2" customWidth="1"/>
    <col min="5897" max="6144" width="11.42578125" style="2"/>
    <col min="6145" max="6145" width="10.42578125" style="2" bestFit="1" customWidth="1"/>
    <col min="6146" max="6146" width="6.140625" style="2" bestFit="1" customWidth="1"/>
    <col min="6147" max="6147" width="50.28515625" style="2" bestFit="1" customWidth="1"/>
    <col min="6148" max="6148" width="9.42578125" style="2" customWidth="1"/>
    <col min="6149" max="6149" width="9.85546875" style="2" customWidth="1"/>
    <col min="6150" max="6150" width="11.140625" style="2" bestFit="1" customWidth="1"/>
    <col min="6151" max="6151" width="11.42578125" style="2" customWidth="1"/>
    <col min="6152" max="6152" width="18.5703125" style="2" customWidth="1"/>
    <col min="6153" max="6400" width="11.42578125" style="2"/>
    <col min="6401" max="6401" width="10.42578125" style="2" bestFit="1" customWidth="1"/>
    <col min="6402" max="6402" width="6.140625" style="2" bestFit="1" customWidth="1"/>
    <col min="6403" max="6403" width="50.28515625" style="2" bestFit="1" customWidth="1"/>
    <col min="6404" max="6404" width="9.42578125" style="2" customWidth="1"/>
    <col min="6405" max="6405" width="9.85546875" style="2" customWidth="1"/>
    <col min="6406" max="6406" width="11.140625" style="2" bestFit="1" customWidth="1"/>
    <col min="6407" max="6407" width="11.42578125" style="2" customWidth="1"/>
    <col min="6408" max="6408" width="18.5703125" style="2" customWidth="1"/>
    <col min="6409" max="6656" width="11.42578125" style="2"/>
    <col min="6657" max="6657" width="10.42578125" style="2" bestFit="1" customWidth="1"/>
    <col min="6658" max="6658" width="6.140625" style="2" bestFit="1" customWidth="1"/>
    <col min="6659" max="6659" width="50.28515625" style="2" bestFit="1" customWidth="1"/>
    <col min="6660" max="6660" width="9.42578125" style="2" customWidth="1"/>
    <col min="6661" max="6661" width="9.85546875" style="2" customWidth="1"/>
    <col min="6662" max="6662" width="11.140625" style="2" bestFit="1" customWidth="1"/>
    <col min="6663" max="6663" width="11.42578125" style="2" customWidth="1"/>
    <col min="6664" max="6664" width="18.5703125" style="2" customWidth="1"/>
    <col min="6665" max="6912" width="11.42578125" style="2"/>
    <col min="6913" max="6913" width="10.42578125" style="2" bestFit="1" customWidth="1"/>
    <col min="6914" max="6914" width="6.140625" style="2" bestFit="1" customWidth="1"/>
    <col min="6915" max="6915" width="50.28515625" style="2" bestFit="1" customWidth="1"/>
    <col min="6916" max="6916" width="9.42578125" style="2" customWidth="1"/>
    <col min="6917" max="6917" width="9.85546875" style="2" customWidth="1"/>
    <col min="6918" max="6918" width="11.140625" style="2" bestFit="1" customWidth="1"/>
    <col min="6919" max="6919" width="11.42578125" style="2" customWidth="1"/>
    <col min="6920" max="6920" width="18.5703125" style="2" customWidth="1"/>
    <col min="6921" max="7168" width="11.42578125" style="2"/>
    <col min="7169" max="7169" width="10.42578125" style="2" bestFit="1" customWidth="1"/>
    <col min="7170" max="7170" width="6.140625" style="2" bestFit="1" customWidth="1"/>
    <col min="7171" max="7171" width="50.28515625" style="2" bestFit="1" customWidth="1"/>
    <col min="7172" max="7172" width="9.42578125" style="2" customWidth="1"/>
    <col min="7173" max="7173" width="9.85546875" style="2" customWidth="1"/>
    <col min="7174" max="7174" width="11.140625" style="2" bestFit="1" customWidth="1"/>
    <col min="7175" max="7175" width="11.42578125" style="2" customWidth="1"/>
    <col min="7176" max="7176" width="18.5703125" style="2" customWidth="1"/>
    <col min="7177" max="7424" width="11.42578125" style="2"/>
    <col min="7425" max="7425" width="10.42578125" style="2" bestFit="1" customWidth="1"/>
    <col min="7426" max="7426" width="6.140625" style="2" bestFit="1" customWidth="1"/>
    <col min="7427" max="7427" width="50.28515625" style="2" bestFit="1" customWidth="1"/>
    <col min="7428" max="7428" width="9.42578125" style="2" customWidth="1"/>
    <col min="7429" max="7429" width="9.85546875" style="2" customWidth="1"/>
    <col min="7430" max="7430" width="11.140625" style="2" bestFit="1" customWidth="1"/>
    <col min="7431" max="7431" width="11.42578125" style="2" customWidth="1"/>
    <col min="7432" max="7432" width="18.5703125" style="2" customWidth="1"/>
    <col min="7433" max="7680" width="11.42578125" style="2"/>
    <col min="7681" max="7681" width="10.42578125" style="2" bestFit="1" customWidth="1"/>
    <col min="7682" max="7682" width="6.140625" style="2" bestFit="1" customWidth="1"/>
    <col min="7683" max="7683" width="50.28515625" style="2" bestFit="1" customWidth="1"/>
    <col min="7684" max="7684" width="9.42578125" style="2" customWidth="1"/>
    <col min="7685" max="7685" width="9.85546875" style="2" customWidth="1"/>
    <col min="7686" max="7686" width="11.140625" style="2" bestFit="1" customWidth="1"/>
    <col min="7687" max="7687" width="11.42578125" style="2" customWidth="1"/>
    <col min="7688" max="7688" width="18.5703125" style="2" customWidth="1"/>
    <col min="7689" max="7936" width="11.42578125" style="2"/>
    <col min="7937" max="7937" width="10.42578125" style="2" bestFit="1" customWidth="1"/>
    <col min="7938" max="7938" width="6.140625" style="2" bestFit="1" customWidth="1"/>
    <col min="7939" max="7939" width="50.28515625" style="2" bestFit="1" customWidth="1"/>
    <col min="7940" max="7940" width="9.42578125" style="2" customWidth="1"/>
    <col min="7941" max="7941" width="9.85546875" style="2" customWidth="1"/>
    <col min="7942" max="7942" width="11.140625" style="2" bestFit="1" customWidth="1"/>
    <col min="7943" max="7943" width="11.42578125" style="2" customWidth="1"/>
    <col min="7944" max="7944" width="18.5703125" style="2" customWidth="1"/>
    <col min="7945" max="8192" width="11.42578125" style="2"/>
    <col min="8193" max="8193" width="10.42578125" style="2" bestFit="1" customWidth="1"/>
    <col min="8194" max="8194" width="6.140625" style="2" bestFit="1" customWidth="1"/>
    <col min="8195" max="8195" width="50.28515625" style="2" bestFit="1" customWidth="1"/>
    <col min="8196" max="8196" width="9.42578125" style="2" customWidth="1"/>
    <col min="8197" max="8197" width="9.85546875" style="2" customWidth="1"/>
    <col min="8198" max="8198" width="11.140625" style="2" bestFit="1" customWidth="1"/>
    <col min="8199" max="8199" width="11.42578125" style="2" customWidth="1"/>
    <col min="8200" max="8200" width="18.5703125" style="2" customWidth="1"/>
    <col min="8201" max="8448" width="11.42578125" style="2"/>
    <col min="8449" max="8449" width="10.42578125" style="2" bestFit="1" customWidth="1"/>
    <col min="8450" max="8450" width="6.140625" style="2" bestFit="1" customWidth="1"/>
    <col min="8451" max="8451" width="50.28515625" style="2" bestFit="1" customWidth="1"/>
    <col min="8452" max="8452" width="9.42578125" style="2" customWidth="1"/>
    <col min="8453" max="8453" width="9.85546875" style="2" customWidth="1"/>
    <col min="8454" max="8454" width="11.140625" style="2" bestFit="1" customWidth="1"/>
    <col min="8455" max="8455" width="11.42578125" style="2" customWidth="1"/>
    <col min="8456" max="8456" width="18.5703125" style="2" customWidth="1"/>
    <col min="8457" max="8704" width="11.42578125" style="2"/>
    <col min="8705" max="8705" width="10.42578125" style="2" bestFit="1" customWidth="1"/>
    <col min="8706" max="8706" width="6.140625" style="2" bestFit="1" customWidth="1"/>
    <col min="8707" max="8707" width="50.28515625" style="2" bestFit="1" customWidth="1"/>
    <col min="8708" max="8708" width="9.42578125" style="2" customWidth="1"/>
    <col min="8709" max="8709" width="9.85546875" style="2" customWidth="1"/>
    <col min="8710" max="8710" width="11.140625" style="2" bestFit="1" customWidth="1"/>
    <col min="8711" max="8711" width="11.42578125" style="2" customWidth="1"/>
    <col min="8712" max="8712" width="18.5703125" style="2" customWidth="1"/>
    <col min="8713" max="8960" width="11.42578125" style="2"/>
    <col min="8961" max="8961" width="10.42578125" style="2" bestFit="1" customWidth="1"/>
    <col min="8962" max="8962" width="6.140625" style="2" bestFit="1" customWidth="1"/>
    <col min="8963" max="8963" width="50.28515625" style="2" bestFit="1" customWidth="1"/>
    <col min="8964" max="8964" width="9.42578125" style="2" customWidth="1"/>
    <col min="8965" max="8965" width="9.85546875" style="2" customWidth="1"/>
    <col min="8966" max="8966" width="11.140625" style="2" bestFit="1" customWidth="1"/>
    <col min="8967" max="8967" width="11.42578125" style="2" customWidth="1"/>
    <col min="8968" max="8968" width="18.5703125" style="2" customWidth="1"/>
    <col min="8969" max="9216" width="11.42578125" style="2"/>
    <col min="9217" max="9217" width="10.42578125" style="2" bestFit="1" customWidth="1"/>
    <col min="9218" max="9218" width="6.140625" style="2" bestFit="1" customWidth="1"/>
    <col min="9219" max="9219" width="50.28515625" style="2" bestFit="1" customWidth="1"/>
    <col min="9220" max="9220" width="9.42578125" style="2" customWidth="1"/>
    <col min="9221" max="9221" width="9.85546875" style="2" customWidth="1"/>
    <col min="9222" max="9222" width="11.140625" style="2" bestFit="1" customWidth="1"/>
    <col min="9223" max="9223" width="11.42578125" style="2" customWidth="1"/>
    <col min="9224" max="9224" width="18.5703125" style="2" customWidth="1"/>
    <col min="9225" max="9472" width="11.42578125" style="2"/>
    <col min="9473" max="9473" width="10.42578125" style="2" bestFit="1" customWidth="1"/>
    <col min="9474" max="9474" width="6.140625" style="2" bestFit="1" customWidth="1"/>
    <col min="9475" max="9475" width="50.28515625" style="2" bestFit="1" customWidth="1"/>
    <col min="9476" max="9476" width="9.42578125" style="2" customWidth="1"/>
    <col min="9477" max="9477" width="9.85546875" style="2" customWidth="1"/>
    <col min="9478" max="9478" width="11.140625" style="2" bestFit="1" customWidth="1"/>
    <col min="9479" max="9479" width="11.42578125" style="2" customWidth="1"/>
    <col min="9480" max="9480" width="18.5703125" style="2" customWidth="1"/>
    <col min="9481" max="9728" width="11.42578125" style="2"/>
    <col min="9729" max="9729" width="10.42578125" style="2" bestFit="1" customWidth="1"/>
    <col min="9730" max="9730" width="6.140625" style="2" bestFit="1" customWidth="1"/>
    <col min="9731" max="9731" width="50.28515625" style="2" bestFit="1" customWidth="1"/>
    <col min="9732" max="9732" width="9.42578125" style="2" customWidth="1"/>
    <col min="9733" max="9733" width="9.85546875" style="2" customWidth="1"/>
    <col min="9734" max="9734" width="11.140625" style="2" bestFit="1" customWidth="1"/>
    <col min="9735" max="9735" width="11.42578125" style="2" customWidth="1"/>
    <col min="9736" max="9736" width="18.5703125" style="2" customWidth="1"/>
    <col min="9737" max="9984" width="11.42578125" style="2"/>
    <col min="9985" max="9985" width="10.42578125" style="2" bestFit="1" customWidth="1"/>
    <col min="9986" max="9986" width="6.140625" style="2" bestFit="1" customWidth="1"/>
    <col min="9987" max="9987" width="50.28515625" style="2" bestFit="1" customWidth="1"/>
    <col min="9988" max="9988" width="9.42578125" style="2" customWidth="1"/>
    <col min="9989" max="9989" width="9.85546875" style="2" customWidth="1"/>
    <col min="9990" max="9990" width="11.140625" style="2" bestFit="1" customWidth="1"/>
    <col min="9991" max="9991" width="11.42578125" style="2" customWidth="1"/>
    <col min="9992" max="9992" width="18.5703125" style="2" customWidth="1"/>
    <col min="9993" max="10240" width="11.42578125" style="2"/>
    <col min="10241" max="10241" width="10.42578125" style="2" bestFit="1" customWidth="1"/>
    <col min="10242" max="10242" width="6.140625" style="2" bestFit="1" customWidth="1"/>
    <col min="10243" max="10243" width="50.28515625" style="2" bestFit="1" customWidth="1"/>
    <col min="10244" max="10244" width="9.42578125" style="2" customWidth="1"/>
    <col min="10245" max="10245" width="9.85546875" style="2" customWidth="1"/>
    <col min="10246" max="10246" width="11.140625" style="2" bestFit="1" customWidth="1"/>
    <col min="10247" max="10247" width="11.42578125" style="2" customWidth="1"/>
    <col min="10248" max="10248" width="18.5703125" style="2" customWidth="1"/>
    <col min="10249" max="10496" width="11.42578125" style="2"/>
    <col min="10497" max="10497" width="10.42578125" style="2" bestFit="1" customWidth="1"/>
    <col min="10498" max="10498" width="6.140625" style="2" bestFit="1" customWidth="1"/>
    <col min="10499" max="10499" width="50.28515625" style="2" bestFit="1" customWidth="1"/>
    <col min="10500" max="10500" width="9.42578125" style="2" customWidth="1"/>
    <col min="10501" max="10501" width="9.85546875" style="2" customWidth="1"/>
    <col min="10502" max="10502" width="11.140625" style="2" bestFit="1" customWidth="1"/>
    <col min="10503" max="10503" width="11.42578125" style="2" customWidth="1"/>
    <col min="10504" max="10504" width="18.5703125" style="2" customWidth="1"/>
    <col min="10505" max="10752" width="11.42578125" style="2"/>
    <col min="10753" max="10753" width="10.42578125" style="2" bestFit="1" customWidth="1"/>
    <col min="10754" max="10754" width="6.140625" style="2" bestFit="1" customWidth="1"/>
    <col min="10755" max="10755" width="50.28515625" style="2" bestFit="1" customWidth="1"/>
    <col min="10756" max="10756" width="9.42578125" style="2" customWidth="1"/>
    <col min="10757" max="10757" width="9.85546875" style="2" customWidth="1"/>
    <col min="10758" max="10758" width="11.140625" style="2" bestFit="1" customWidth="1"/>
    <col min="10759" max="10759" width="11.42578125" style="2" customWidth="1"/>
    <col min="10760" max="10760" width="18.5703125" style="2" customWidth="1"/>
    <col min="10761" max="11008" width="11.42578125" style="2"/>
    <col min="11009" max="11009" width="10.42578125" style="2" bestFit="1" customWidth="1"/>
    <col min="11010" max="11010" width="6.140625" style="2" bestFit="1" customWidth="1"/>
    <col min="11011" max="11011" width="50.28515625" style="2" bestFit="1" customWidth="1"/>
    <col min="11012" max="11012" width="9.42578125" style="2" customWidth="1"/>
    <col min="11013" max="11013" width="9.85546875" style="2" customWidth="1"/>
    <col min="11014" max="11014" width="11.140625" style="2" bestFit="1" customWidth="1"/>
    <col min="11015" max="11015" width="11.42578125" style="2" customWidth="1"/>
    <col min="11016" max="11016" width="18.5703125" style="2" customWidth="1"/>
    <col min="11017" max="11264" width="11.42578125" style="2"/>
    <col min="11265" max="11265" width="10.42578125" style="2" bestFit="1" customWidth="1"/>
    <col min="11266" max="11266" width="6.140625" style="2" bestFit="1" customWidth="1"/>
    <col min="11267" max="11267" width="50.28515625" style="2" bestFit="1" customWidth="1"/>
    <col min="11268" max="11268" width="9.42578125" style="2" customWidth="1"/>
    <col min="11269" max="11269" width="9.85546875" style="2" customWidth="1"/>
    <col min="11270" max="11270" width="11.140625" style="2" bestFit="1" customWidth="1"/>
    <col min="11271" max="11271" width="11.42578125" style="2" customWidth="1"/>
    <col min="11272" max="11272" width="18.5703125" style="2" customWidth="1"/>
    <col min="11273" max="11520" width="11.42578125" style="2"/>
    <col min="11521" max="11521" width="10.42578125" style="2" bestFit="1" customWidth="1"/>
    <col min="11522" max="11522" width="6.140625" style="2" bestFit="1" customWidth="1"/>
    <col min="11523" max="11523" width="50.28515625" style="2" bestFit="1" customWidth="1"/>
    <col min="11524" max="11524" width="9.42578125" style="2" customWidth="1"/>
    <col min="11525" max="11525" width="9.85546875" style="2" customWidth="1"/>
    <col min="11526" max="11526" width="11.140625" style="2" bestFit="1" customWidth="1"/>
    <col min="11527" max="11527" width="11.42578125" style="2" customWidth="1"/>
    <col min="11528" max="11528" width="18.5703125" style="2" customWidth="1"/>
    <col min="11529" max="11776" width="11.42578125" style="2"/>
    <col min="11777" max="11777" width="10.42578125" style="2" bestFit="1" customWidth="1"/>
    <col min="11778" max="11778" width="6.140625" style="2" bestFit="1" customWidth="1"/>
    <col min="11779" max="11779" width="50.28515625" style="2" bestFit="1" customWidth="1"/>
    <col min="11780" max="11780" width="9.42578125" style="2" customWidth="1"/>
    <col min="11781" max="11781" width="9.85546875" style="2" customWidth="1"/>
    <col min="11782" max="11782" width="11.140625" style="2" bestFit="1" customWidth="1"/>
    <col min="11783" max="11783" width="11.42578125" style="2" customWidth="1"/>
    <col min="11784" max="11784" width="18.5703125" style="2" customWidth="1"/>
    <col min="11785" max="12032" width="11.42578125" style="2"/>
    <col min="12033" max="12033" width="10.42578125" style="2" bestFit="1" customWidth="1"/>
    <col min="12034" max="12034" width="6.140625" style="2" bestFit="1" customWidth="1"/>
    <col min="12035" max="12035" width="50.28515625" style="2" bestFit="1" customWidth="1"/>
    <col min="12036" max="12036" width="9.42578125" style="2" customWidth="1"/>
    <col min="12037" max="12037" width="9.85546875" style="2" customWidth="1"/>
    <col min="12038" max="12038" width="11.140625" style="2" bestFit="1" customWidth="1"/>
    <col min="12039" max="12039" width="11.42578125" style="2" customWidth="1"/>
    <col min="12040" max="12040" width="18.5703125" style="2" customWidth="1"/>
    <col min="12041" max="12288" width="11.42578125" style="2"/>
    <col min="12289" max="12289" width="10.42578125" style="2" bestFit="1" customWidth="1"/>
    <col min="12290" max="12290" width="6.140625" style="2" bestFit="1" customWidth="1"/>
    <col min="12291" max="12291" width="50.28515625" style="2" bestFit="1" customWidth="1"/>
    <col min="12292" max="12292" width="9.42578125" style="2" customWidth="1"/>
    <col min="12293" max="12293" width="9.85546875" style="2" customWidth="1"/>
    <col min="12294" max="12294" width="11.140625" style="2" bestFit="1" customWidth="1"/>
    <col min="12295" max="12295" width="11.42578125" style="2" customWidth="1"/>
    <col min="12296" max="12296" width="18.5703125" style="2" customWidth="1"/>
    <col min="12297" max="12544" width="11.42578125" style="2"/>
    <col min="12545" max="12545" width="10.42578125" style="2" bestFit="1" customWidth="1"/>
    <col min="12546" max="12546" width="6.140625" style="2" bestFit="1" customWidth="1"/>
    <col min="12547" max="12547" width="50.28515625" style="2" bestFit="1" customWidth="1"/>
    <col min="12548" max="12548" width="9.42578125" style="2" customWidth="1"/>
    <col min="12549" max="12549" width="9.85546875" style="2" customWidth="1"/>
    <col min="12550" max="12550" width="11.140625" style="2" bestFit="1" customWidth="1"/>
    <col min="12551" max="12551" width="11.42578125" style="2" customWidth="1"/>
    <col min="12552" max="12552" width="18.5703125" style="2" customWidth="1"/>
    <col min="12553" max="12800" width="11.42578125" style="2"/>
    <col min="12801" max="12801" width="10.42578125" style="2" bestFit="1" customWidth="1"/>
    <col min="12802" max="12802" width="6.140625" style="2" bestFit="1" customWidth="1"/>
    <col min="12803" max="12803" width="50.28515625" style="2" bestFit="1" customWidth="1"/>
    <col min="12804" max="12804" width="9.42578125" style="2" customWidth="1"/>
    <col min="12805" max="12805" width="9.85546875" style="2" customWidth="1"/>
    <col min="12806" max="12806" width="11.140625" style="2" bestFit="1" customWidth="1"/>
    <col min="12807" max="12807" width="11.42578125" style="2" customWidth="1"/>
    <col min="12808" max="12808" width="18.5703125" style="2" customWidth="1"/>
    <col min="12809" max="13056" width="11.42578125" style="2"/>
    <col min="13057" max="13057" width="10.42578125" style="2" bestFit="1" customWidth="1"/>
    <col min="13058" max="13058" width="6.140625" style="2" bestFit="1" customWidth="1"/>
    <col min="13059" max="13059" width="50.28515625" style="2" bestFit="1" customWidth="1"/>
    <col min="13060" max="13060" width="9.42578125" style="2" customWidth="1"/>
    <col min="13061" max="13061" width="9.85546875" style="2" customWidth="1"/>
    <col min="13062" max="13062" width="11.140625" style="2" bestFit="1" customWidth="1"/>
    <col min="13063" max="13063" width="11.42578125" style="2" customWidth="1"/>
    <col min="13064" max="13064" width="18.5703125" style="2" customWidth="1"/>
    <col min="13065" max="13312" width="11.42578125" style="2"/>
    <col min="13313" max="13313" width="10.42578125" style="2" bestFit="1" customWidth="1"/>
    <col min="13314" max="13314" width="6.140625" style="2" bestFit="1" customWidth="1"/>
    <col min="13315" max="13315" width="50.28515625" style="2" bestFit="1" customWidth="1"/>
    <col min="13316" max="13316" width="9.42578125" style="2" customWidth="1"/>
    <col min="13317" max="13317" width="9.85546875" style="2" customWidth="1"/>
    <col min="13318" max="13318" width="11.140625" style="2" bestFit="1" customWidth="1"/>
    <col min="13319" max="13319" width="11.42578125" style="2" customWidth="1"/>
    <col min="13320" max="13320" width="18.5703125" style="2" customWidth="1"/>
    <col min="13321" max="13568" width="11.42578125" style="2"/>
    <col min="13569" max="13569" width="10.42578125" style="2" bestFit="1" customWidth="1"/>
    <col min="13570" max="13570" width="6.140625" style="2" bestFit="1" customWidth="1"/>
    <col min="13571" max="13571" width="50.28515625" style="2" bestFit="1" customWidth="1"/>
    <col min="13572" max="13572" width="9.42578125" style="2" customWidth="1"/>
    <col min="13573" max="13573" width="9.85546875" style="2" customWidth="1"/>
    <col min="13574" max="13574" width="11.140625" style="2" bestFit="1" customWidth="1"/>
    <col min="13575" max="13575" width="11.42578125" style="2" customWidth="1"/>
    <col min="13576" max="13576" width="18.5703125" style="2" customWidth="1"/>
    <col min="13577" max="13824" width="11.42578125" style="2"/>
    <col min="13825" max="13825" width="10.42578125" style="2" bestFit="1" customWidth="1"/>
    <col min="13826" max="13826" width="6.140625" style="2" bestFit="1" customWidth="1"/>
    <col min="13827" max="13827" width="50.28515625" style="2" bestFit="1" customWidth="1"/>
    <col min="13828" max="13828" width="9.42578125" style="2" customWidth="1"/>
    <col min="13829" max="13829" width="9.85546875" style="2" customWidth="1"/>
    <col min="13830" max="13830" width="11.140625" style="2" bestFit="1" customWidth="1"/>
    <col min="13831" max="13831" width="11.42578125" style="2" customWidth="1"/>
    <col min="13832" max="13832" width="18.5703125" style="2" customWidth="1"/>
    <col min="13833" max="14080" width="11.42578125" style="2"/>
    <col min="14081" max="14081" width="10.42578125" style="2" bestFit="1" customWidth="1"/>
    <col min="14082" max="14082" width="6.140625" style="2" bestFit="1" customWidth="1"/>
    <col min="14083" max="14083" width="50.28515625" style="2" bestFit="1" customWidth="1"/>
    <col min="14084" max="14084" width="9.42578125" style="2" customWidth="1"/>
    <col min="14085" max="14085" width="9.85546875" style="2" customWidth="1"/>
    <col min="14086" max="14086" width="11.140625" style="2" bestFit="1" customWidth="1"/>
    <col min="14087" max="14087" width="11.42578125" style="2" customWidth="1"/>
    <col min="14088" max="14088" width="18.5703125" style="2" customWidth="1"/>
    <col min="14089" max="14336" width="11.42578125" style="2"/>
    <col min="14337" max="14337" width="10.42578125" style="2" bestFit="1" customWidth="1"/>
    <col min="14338" max="14338" width="6.140625" style="2" bestFit="1" customWidth="1"/>
    <col min="14339" max="14339" width="50.28515625" style="2" bestFit="1" customWidth="1"/>
    <col min="14340" max="14340" width="9.42578125" style="2" customWidth="1"/>
    <col min="14341" max="14341" width="9.85546875" style="2" customWidth="1"/>
    <col min="14342" max="14342" width="11.140625" style="2" bestFit="1" customWidth="1"/>
    <col min="14343" max="14343" width="11.42578125" style="2" customWidth="1"/>
    <col min="14344" max="14344" width="18.5703125" style="2" customWidth="1"/>
    <col min="14345" max="14592" width="11.42578125" style="2"/>
    <col min="14593" max="14593" width="10.42578125" style="2" bestFit="1" customWidth="1"/>
    <col min="14594" max="14594" width="6.140625" style="2" bestFit="1" customWidth="1"/>
    <col min="14595" max="14595" width="50.28515625" style="2" bestFit="1" customWidth="1"/>
    <col min="14596" max="14596" width="9.42578125" style="2" customWidth="1"/>
    <col min="14597" max="14597" width="9.85546875" style="2" customWidth="1"/>
    <col min="14598" max="14598" width="11.140625" style="2" bestFit="1" customWidth="1"/>
    <col min="14599" max="14599" width="11.42578125" style="2" customWidth="1"/>
    <col min="14600" max="14600" width="18.5703125" style="2" customWidth="1"/>
    <col min="14601" max="14848" width="11.42578125" style="2"/>
    <col min="14849" max="14849" width="10.42578125" style="2" bestFit="1" customWidth="1"/>
    <col min="14850" max="14850" width="6.140625" style="2" bestFit="1" customWidth="1"/>
    <col min="14851" max="14851" width="50.28515625" style="2" bestFit="1" customWidth="1"/>
    <col min="14852" max="14852" width="9.42578125" style="2" customWidth="1"/>
    <col min="14853" max="14853" width="9.85546875" style="2" customWidth="1"/>
    <col min="14854" max="14854" width="11.140625" style="2" bestFit="1" customWidth="1"/>
    <col min="14855" max="14855" width="11.42578125" style="2" customWidth="1"/>
    <col min="14856" max="14856" width="18.5703125" style="2" customWidth="1"/>
    <col min="14857" max="15104" width="11.42578125" style="2"/>
    <col min="15105" max="15105" width="10.42578125" style="2" bestFit="1" customWidth="1"/>
    <col min="15106" max="15106" width="6.140625" style="2" bestFit="1" customWidth="1"/>
    <col min="15107" max="15107" width="50.28515625" style="2" bestFit="1" customWidth="1"/>
    <col min="15108" max="15108" width="9.42578125" style="2" customWidth="1"/>
    <col min="15109" max="15109" width="9.85546875" style="2" customWidth="1"/>
    <col min="15110" max="15110" width="11.140625" style="2" bestFit="1" customWidth="1"/>
    <col min="15111" max="15111" width="11.42578125" style="2" customWidth="1"/>
    <col min="15112" max="15112" width="18.5703125" style="2" customWidth="1"/>
    <col min="15113" max="15360" width="11.42578125" style="2"/>
    <col min="15361" max="15361" width="10.42578125" style="2" bestFit="1" customWidth="1"/>
    <col min="15362" max="15362" width="6.140625" style="2" bestFit="1" customWidth="1"/>
    <col min="15363" max="15363" width="50.28515625" style="2" bestFit="1" customWidth="1"/>
    <col min="15364" max="15364" width="9.42578125" style="2" customWidth="1"/>
    <col min="15365" max="15365" width="9.85546875" style="2" customWidth="1"/>
    <col min="15366" max="15366" width="11.140625" style="2" bestFit="1" customWidth="1"/>
    <col min="15367" max="15367" width="11.42578125" style="2" customWidth="1"/>
    <col min="15368" max="15368" width="18.5703125" style="2" customWidth="1"/>
    <col min="15369" max="15616" width="11.42578125" style="2"/>
    <col min="15617" max="15617" width="10.42578125" style="2" bestFit="1" customWidth="1"/>
    <col min="15618" max="15618" width="6.140625" style="2" bestFit="1" customWidth="1"/>
    <col min="15619" max="15619" width="50.28515625" style="2" bestFit="1" customWidth="1"/>
    <col min="15620" max="15620" width="9.42578125" style="2" customWidth="1"/>
    <col min="15621" max="15621" width="9.85546875" style="2" customWidth="1"/>
    <col min="15622" max="15622" width="11.140625" style="2" bestFit="1" customWidth="1"/>
    <col min="15623" max="15623" width="11.42578125" style="2" customWidth="1"/>
    <col min="15624" max="15624" width="18.5703125" style="2" customWidth="1"/>
    <col min="15625" max="15872" width="11.42578125" style="2"/>
    <col min="15873" max="15873" width="10.42578125" style="2" bestFit="1" customWidth="1"/>
    <col min="15874" max="15874" width="6.140625" style="2" bestFit="1" customWidth="1"/>
    <col min="15875" max="15875" width="50.28515625" style="2" bestFit="1" customWidth="1"/>
    <col min="15876" max="15876" width="9.42578125" style="2" customWidth="1"/>
    <col min="15877" max="15877" width="9.85546875" style="2" customWidth="1"/>
    <col min="15878" max="15878" width="11.140625" style="2" bestFit="1" customWidth="1"/>
    <col min="15879" max="15879" width="11.42578125" style="2" customWidth="1"/>
    <col min="15880" max="15880" width="18.5703125" style="2" customWidth="1"/>
    <col min="15881" max="16128" width="11.42578125" style="2"/>
    <col min="16129" max="16129" width="10.42578125" style="2" bestFit="1" customWidth="1"/>
    <col min="16130" max="16130" width="6.140625" style="2" bestFit="1" customWidth="1"/>
    <col min="16131" max="16131" width="50.28515625" style="2" bestFit="1" customWidth="1"/>
    <col min="16132" max="16132" width="9.42578125" style="2" customWidth="1"/>
    <col min="16133" max="16133" width="9.85546875" style="2" customWidth="1"/>
    <col min="16134" max="16134" width="11.140625" style="2" bestFit="1" customWidth="1"/>
    <col min="16135" max="16135" width="11.42578125" style="2" customWidth="1"/>
    <col min="16136" max="16136" width="18.5703125" style="2" customWidth="1"/>
    <col min="16137" max="16384" width="11.42578125" style="2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8" t="s">
        <v>7</v>
      </c>
      <c r="I1" s="1" t="s">
        <v>8</v>
      </c>
    </row>
    <row r="2" spans="1:9" x14ac:dyDescent="0.25">
      <c r="A2" s="14" t="s">
        <v>9</v>
      </c>
      <c r="B2" s="15" t="s">
        <v>11</v>
      </c>
      <c r="C2" s="14"/>
      <c r="D2" s="14">
        <v>50</v>
      </c>
      <c r="E2" s="14">
        <v>1</v>
      </c>
      <c r="F2" s="14">
        <v>10</v>
      </c>
      <c r="G2" s="12">
        <v>1</v>
      </c>
      <c r="H2" s="11">
        <v>41389</v>
      </c>
      <c r="I2" s="13" t="s">
        <v>10</v>
      </c>
    </row>
    <row r="3" spans="1:9" x14ac:dyDescent="0.25">
      <c r="A3" s="14" t="s">
        <v>9</v>
      </c>
      <c r="B3" s="16" t="s">
        <v>11</v>
      </c>
      <c r="C3" s="14"/>
      <c r="D3" s="14">
        <v>30</v>
      </c>
      <c r="E3" s="14">
        <v>1</v>
      </c>
      <c r="F3" s="14">
        <v>15</v>
      </c>
      <c r="G3" s="12">
        <v>1</v>
      </c>
      <c r="H3" s="11">
        <v>41389</v>
      </c>
      <c r="I3" s="13" t="s">
        <v>10</v>
      </c>
    </row>
    <row r="4" spans="1:9" x14ac:dyDescent="0.25">
      <c r="A4" s="14" t="s">
        <v>9</v>
      </c>
      <c r="B4" s="15" t="s">
        <v>12</v>
      </c>
      <c r="C4" s="14"/>
      <c r="D4" s="14">
        <v>24</v>
      </c>
      <c r="E4" s="14">
        <v>1</v>
      </c>
      <c r="F4" s="14">
        <v>20</v>
      </c>
      <c r="G4" s="12">
        <v>1</v>
      </c>
      <c r="H4" s="11">
        <v>41389</v>
      </c>
      <c r="I4" s="13" t="s">
        <v>10</v>
      </c>
    </row>
    <row r="5" spans="1:9" x14ac:dyDescent="0.25">
      <c r="A5" s="14" t="s">
        <v>9</v>
      </c>
      <c r="B5" s="16" t="s">
        <v>13</v>
      </c>
      <c r="C5" s="14"/>
      <c r="D5" s="14">
        <v>12</v>
      </c>
      <c r="E5" s="14">
        <v>2</v>
      </c>
      <c r="F5" s="14">
        <v>25</v>
      </c>
      <c r="G5" s="12">
        <v>1</v>
      </c>
      <c r="H5" s="11">
        <v>41389</v>
      </c>
      <c r="I5" s="13" t="s">
        <v>10</v>
      </c>
    </row>
    <row r="6" spans="1:9" x14ac:dyDescent="0.25">
      <c r="A6" s="14" t="s">
        <v>9</v>
      </c>
      <c r="B6" s="15" t="s">
        <v>14</v>
      </c>
      <c r="C6" s="14"/>
      <c r="D6" s="14">
        <v>120</v>
      </c>
      <c r="E6" s="14">
        <v>1</v>
      </c>
      <c r="F6" s="14">
        <v>30</v>
      </c>
      <c r="G6" s="12">
        <v>1</v>
      </c>
      <c r="H6" s="11">
        <v>41389</v>
      </c>
      <c r="I6" s="13" t="s">
        <v>10</v>
      </c>
    </row>
    <row r="7" spans="1:9" x14ac:dyDescent="0.25">
      <c r="A7" s="3"/>
      <c r="B7" s="5"/>
      <c r="C7" s="3"/>
      <c r="D7" s="3"/>
      <c r="E7" s="3"/>
      <c r="F7" s="3"/>
      <c r="G7" s="3"/>
      <c r="H7" s="9"/>
    </row>
    <row r="8" spans="1:9" x14ac:dyDescent="0.25">
      <c r="A8" s="3"/>
      <c r="B8" s="5"/>
      <c r="C8" s="3"/>
      <c r="D8" s="3"/>
      <c r="E8" s="3"/>
      <c r="F8" s="3"/>
      <c r="G8" s="3"/>
      <c r="H8" s="9"/>
    </row>
    <row r="9" spans="1:9" x14ac:dyDescent="0.25">
      <c r="A9" s="3"/>
      <c r="B9" s="5"/>
      <c r="C9" s="3"/>
      <c r="D9" s="3"/>
      <c r="E9" s="3"/>
      <c r="F9" s="3"/>
      <c r="G9" s="3"/>
      <c r="H9" s="9"/>
    </row>
    <row r="10" spans="1:9" x14ac:dyDescent="0.25">
      <c r="A10" s="3"/>
      <c r="B10" s="5"/>
      <c r="C10" s="3"/>
      <c r="D10" s="3"/>
      <c r="E10" s="3"/>
      <c r="F10" s="3"/>
      <c r="G10" s="3"/>
      <c r="H10" s="9"/>
    </row>
    <row r="11" spans="1:9" x14ac:dyDescent="0.25">
      <c r="A11" s="3"/>
      <c r="B11" s="5"/>
      <c r="C11" s="3"/>
      <c r="D11" s="3"/>
      <c r="E11" s="3"/>
      <c r="F11" s="3"/>
      <c r="G11" s="3"/>
      <c r="H11" s="9"/>
    </row>
    <row r="12" spans="1:9" x14ac:dyDescent="0.25">
      <c r="A12" s="3"/>
      <c r="B12" s="5"/>
      <c r="C12" s="3"/>
      <c r="D12" s="3"/>
      <c r="E12" s="3"/>
      <c r="F12" s="3"/>
      <c r="G12" s="3"/>
      <c r="H12" s="9"/>
    </row>
    <row r="13" spans="1:9" x14ac:dyDescent="0.25">
      <c r="A13" s="3"/>
      <c r="B13" s="5"/>
      <c r="C13" s="3"/>
      <c r="D13" s="3"/>
      <c r="E13" s="3"/>
      <c r="F13" s="3"/>
      <c r="G13" s="3"/>
      <c r="H13" s="9"/>
    </row>
    <row r="14" spans="1:9" x14ac:dyDescent="0.25">
      <c r="A14" s="3"/>
      <c r="B14" s="5"/>
      <c r="C14" s="3"/>
      <c r="D14" s="3"/>
      <c r="E14" s="3"/>
      <c r="F14" s="3"/>
      <c r="G14" s="3"/>
      <c r="H14" s="9"/>
    </row>
    <row r="15" spans="1:9" x14ac:dyDescent="0.25">
      <c r="A15" s="3"/>
      <c r="B15" s="5"/>
      <c r="C15" s="3"/>
      <c r="D15" s="3"/>
      <c r="E15" s="3"/>
      <c r="F15" s="3"/>
      <c r="G15" s="3"/>
      <c r="H15" s="9"/>
    </row>
    <row r="16" spans="1:9" x14ac:dyDescent="0.25">
      <c r="A16" s="3"/>
      <c r="B16" s="5"/>
      <c r="C16" s="3"/>
      <c r="D16" s="3"/>
      <c r="E16" s="3"/>
      <c r="F16" s="3"/>
      <c r="G16" s="3"/>
      <c r="H16" s="9"/>
    </row>
    <row r="17" spans="1:8" x14ac:dyDescent="0.25">
      <c r="A17" s="3"/>
      <c r="B17" s="5"/>
      <c r="C17" s="3"/>
      <c r="D17" s="3"/>
      <c r="E17" s="3"/>
      <c r="F17" s="3"/>
      <c r="G17" s="3"/>
      <c r="H17" s="9"/>
    </row>
    <row r="18" spans="1:8" x14ac:dyDescent="0.25">
      <c r="A18" s="3"/>
      <c r="B18" s="6"/>
      <c r="C18" s="3"/>
      <c r="D18" s="3"/>
      <c r="E18" s="3"/>
      <c r="F18" s="3"/>
      <c r="G18" s="3"/>
      <c r="H18" s="9"/>
    </row>
    <row r="19" spans="1:8" x14ac:dyDescent="0.25">
      <c r="A19" s="3"/>
      <c r="B19" s="5"/>
      <c r="C19" s="3"/>
      <c r="D19" s="3"/>
      <c r="E19" s="3"/>
      <c r="F19" s="3"/>
      <c r="G19" s="3"/>
      <c r="H19" s="9"/>
    </row>
    <row r="20" spans="1:8" x14ac:dyDescent="0.25">
      <c r="A20" s="3"/>
      <c r="B20" s="5"/>
      <c r="C20" s="3"/>
      <c r="D20" s="3"/>
      <c r="E20" s="3"/>
      <c r="F20" s="3"/>
      <c r="G20" s="3"/>
      <c r="H20" s="9"/>
    </row>
    <row r="21" spans="1:8" x14ac:dyDescent="0.25">
      <c r="A21" s="3"/>
      <c r="B21" s="5"/>
      <c r="C21" s="3"/>
      <c r="D21" s="3"/>
      <c r="E21" s="3"/>
      <c r="F21" s="3"/>
      <c r="G21" s="3"/>
      <c r="H21" s="9"/>
    </row>
    <row r="22" spans="1:8" x14ac:dyDescent="0.25">
      <c r="A22" s="3"/>
      <c r="B22" s="5"/>
      <c r="C22" s="3"/>
      <c r="D22" s="3"/>
      <c r="E22" s="3"/>
      <c r="F22" s="3"/>
      <c r="G22" s="3"/>
      <c r="H22" s="9"/>
    </row>
    <row r="23" spans="1:8" x14ac:dyDescent="0.25">
      <c r="A23" s="3"/>
      <c r="B23" s="5"/>
      <c r="C23" s="3"/>
      <c r="D23" s="3"/>
      <c r="E23" s="3"/>
      <c r="F23" s="3"/>
      <c r="G23" s="3"/>
      <c r="H23" s="9"/>
    </row>
    <row r="24" spans="1:8" x14ac:dyDescent="0.25">
      <c r="A24" s="3"/>
      <c r="B24" s="5"/>
      <c r="C24" s="3"/>
      <c r="D24" s="3"/>
      <c r="E24" s="3"/>
      <c r="F24" s="3"/>
      <c r="G24" s="3"/>
      <c r="H24" s="9"/>
    </row>
    <row r="25" spans="1:8" x14ac:dyDescent="0.25">
      <c r="A25" s="3"/>
      <c r="B25" s="5"/>
      <c r="C25" s="3"/>
      <c r="D25" s="3"/>
      <c r="E25" s="3"/>
      <c r="F25" s="3"/>
      <c r="G25" s="3"/>
      <c r="H25" s="9"/>
    </row>
    <row r="26" spans="1:8" x14ac:dyDescent="0.25">
      <c r="A26" s="3"/>
      <c r="B26" s="5"/>
      <c r="C26" s="3"/>
      <c r="D26" s="3"/>
      <c r="E26" s="3"/>
      <c r="F26" s="3"/>
      <c r="G26" s="3"/>
      <c r="H26" s="9"/>
    </row>
    <row r="27" spans="1:8" x14ac:dyDescent="0.25">
      <c r="A27" s="3"/>
      <c r="B27" s="5"/>
      <c r="C27" s="3"/>
      <c r="D27" s="3"/>
      <c r="E27" s="3"/>
      <c r="F27" s="3"/>
      <c r="G27" s="3"/>
      <c r="H27" s="9"/>
    </row>
    <row r="28" spans="1:8" x14ac:dyDescent="0.25">
      <c r="A28" s="3"/>
      <c r="B28" s="5"/>
      <c r="C28" s="3"/>
      <c r="D28" s="3"/>
      <c r="E28" s="3"/>
      <c r="F28" s="3"/>
      <c r="G28" s="3"/>
      <c r="H28" s="9"/>
    </row>
    <row r="29" spans="1:8" x14ac:dyDescent="0.25">
      <c r="A29" s="3"/>
      <c r="B29" s="5"/>
      <c r="C29" s="3"/>
      <c r="D29" s="3"/>
      <c r="E29" s="3"/>
      <c r="F29" s="3"/>
      <c r="G29" s="3"/>
      <c r="H29" s="9"/>
    </row>
    <row r="30" spans="1:8" x14ac:dyDescent="0.25">
      <c r="A30" s="3"/>
      <c r="B30" s="5"/>
      <c r="C30" s="3"/>
      <c r="D30" s="3"/>
      <c r="E30" s="3"/>
      <c r="F30" s="3"/>
      <c r="G30" s="3"/>
      <c r="H30" s="9"/>
    </row>
    <row r="31" spans="1:8" x14ac:dyDescent="0.25">
      <c r="A31" s="3"/>
      <c r="B31" s="5"/>
      <c r="C31" s="3"/>
      <c r="D31" s="3"/>
      <c r="E31" s="3"/>
      <c r="F31" s="3"/>
      <c r="G31" s="3"/>
      <c r="H31" s="9"/>
    </row>
    <row r="32" spans="1:8" x14ac:dyDescent="0.25">
      <c r="A32" s="3"/>
      <c r="B32" s="5"/>
      <c r="C32" s="3"/>
      <c r="D32" s="3"/>
      <c r="E32" s="3"/>
      <c r="F32" s="3"/>
      <c r="G32" s="3"/>
      <c r="H32" s="9"/>
    </row>
    <row r="33" spans="1:8" x14ac:dyDescent="0.25">
      <c r="A33" s="3"/>
      <c r="B33" s="5"/>
      <c r="C33" s="3"/>
      <c r="D33" s="3"/>
      <c r="E33" s="3"/>
      <c r="F33" s="3"/>
      <c r="G33" s="3"/>
      <c r="H33" s="9"/>
    </row>
    <row r="34" spans="1:8" x14ac:dyDescent="0.25">
      <c r="A34" s="3"/>
      <c r="B34" s="5"/>
      <c r="C34" s="3"/>
      <c r="D34" s="3"/>
      <c r="E34" s="3"/>
      <c r="F34" s="3"/>
      <c r="G34" s="3"/>
      <c r="H34" s="9"/>
    </row>
    <row r="35" spans="1:8" x14ac:dyDescent="0.25">
      <c r="A35" s="3"/>
      <c r="B35" s="5"/>
      <c r="C35" s="3"/>
      <c r="D35" s="3"/>
      <c r="E35" s="3"/>
      <c r="F35" s="3"/>
      <c r="G35" s="3"/>
      <c r="H35" s="9"/>
    </row>
    <row r="36" spans="1:8" x14ac:dyDescent="0.25">
      <c r="A36" s="3"/>
      <c r="B36" s="5"/>
      <c r="C36" s="3"/>
      <c r="D36" s="3"/>
      <c r="E36" s="3"/>
      <c r="F36" s="3"/>
      <c r="G36" s="3"/>
      <c r="H36" s="9"/>
    </row>
    <row r="37" spans="1:8" x14ac:dyDescent="0.25">
      <c r="A37" s="3"/>
      <c r="B37" s="4"/>
      <c r="C37" s="3"/>
      <c r="D37" s="3"/>
      <c r="E37" s="3"/>
      <c r="F37" s="3"/>
      <c r="G37" s="3"/>
      <c r="H37" s="9"/>
    </row>
    <row r="38" spans="1:8" x14ac:dyDescent="0.25">
      <c r="A38" s="3"/>
      <c r="B38" s="4"/>
      <c r="C38" s="3"/>
      <c r="D38" s="3"/>
      <c r="E38" s="3"/>
      <c r="F38" s="3"/>
      <c r="G38" s="3"/>
      <c r="H38" s="9"/>
    </row>
    <row r="39" spans="1:8" x14ac:dyDescent="0.25">
      <c r="A39" s="3"/>
      <c r="B39" s="4"/>
      <c r="C39" s="3"/>
      <c r="D39" s="3"/>
      <c r="E39" s="3"/>
      <c r="F39" s="3"/>
      <c r="G39" s="3"/>
      <c r="H39" s="9"/>
    </row>
    <row r="40" spans="1:8" x14ac:dyDescent="0.25">
      <c r="A40" s="3"/>
      <c r="B40" s="4"/>
      <c r="C40" s="3"/>
      <c r="D40" s="3"/>
      <c r="E40" s="3"/>
      <c r="F40" s="3"/>
      <c r="G40" s="3"/>
      <c r="H40" s="9"/>
    </row>
    <row r="41" spans="1:8" x14ac:dyDescent="0.25">
      <c r="A41" s="3"/>
      <c r="B41" s="4"/>
      <c r="C41" s="3"/>
      <c r="D41" s="3"/>
      <c r="E41" s="3"/>
      <c r="F41" s="3"/>
      <c r="G41" s="3"/>
      <c r="H41" s="9"/>
    </row>
    <row r="42" spans="1:8" x14ac:dyDescent="0.25">
      <c r="A42" s="3"/>
      <c r="B42" s="4"/>
      <c r="C42" s="3"/>
      <c r="D42" s="3"/>
      <c r="E42" s="3"/>
      <c r="F42" s="3"/>
      <c r="G42" s="3"/>
      <c r="H42" s="9"/>
    </row>
    <row r="43" spans="1:8" x14ac:dyDescent="0.25">
      <c r="A43" s="3"/>
      <c r="B43" s="4"/>
      <c r="C43" s="3"/>
      <c r="D43" s="3"/>
      <c r="E43" s="3"/>
      <c r="F43" s="3"/>
      <c r="G43" s="3"/>
      <c r="H43" s="9"/>
    </row>
    <row r="44" spans="1:8" x14ac:dyDescent="0.25">
      <c r="A44" s="3"/>
      <c r="B44" s="4"/>
      <c r="C44" s="3"/>
      <c r="D44" s="3"/>
      <c r="E44" s="3"/>
      <c r="F44" s="3"/>
      <c r="G44" s="3"/>
      <c r="H44" s="9"/>
    </row>
    <row r="45" spans="1:8" x14ac:dyDescent="0.25">
      <c r="A45" s="3"/>
      <c r="B45" s="4"/>
      <c r="C45" s="3"/>
      <c r="D45" s="3"/>
      <c r="E45" s="3"/>
      <c r="F45" s="3"/>
      <c r="G45" s="3"/>
      <c r="H45" s="9"/>
    </row>
    <row r="46" spans="1:8" x14ac:dyDescent="0.25">
      <c r="A46" s="3"/>
      <c r="B46" s="4"/>
      <c r="C46" s="3"/>
      <c r="D46" s="3"/>
      <c r="E46" s="3"/>
      <c r="F46" s="3"/>
      <c r="G46" s="3"/>
      <c r="H46" s="9"/>
    </row>
    <row r="47" spans="1:8" x14ac:dyDescent="0.25">
      <c r="A47" s="3"/>
      <c r="B47" s="4"/>
      <c r="C47" s="3"/>
      <c r="D47" s="3"/>
      <c r="E47" s="3"/>
      <c r="F47" s="3"/>
      <c r="G47" s="3"/>
      <c r="H47" s="9"/>
    </row>
    <row r="48" spans="1:8" x14ac:dyDescent="0.25">
      <c r="A48" s="3"/>
      <c r="B48" s="4"/>
      <c r="C48" s="3"/>
      <c r="D48" s="3"/>
      <c r="E48" s="3"/>
      <c r="F48" s="3"/>
      <c r="G48" s="3"/>
      <c r="H48" s="9"/>
    </row>
    <row r="49" spans="1:8" x14ac:dyDescent="0.25">
      <c r="A49" s="3"/>
      <c r="B49" s="4"/>
      <c r="C49" s="3"/>
      <c r="D49" s="3"/>
      <c r="E49" s="3"/>
      <c r="F49" s="3"/>
      <c r="G49" s="3"/>
      <c r="H49" s="9"/>
    </row>
    <row r="50" spans="1:8" x14ac:dyDescent="0.25">
      <c r="A50" s="3"/>
      <c r="B50" s="4"/>
      <c r="C50" s="3"/>
      <c r="D50" s="3"/>
      <c r="E50" s="3"/>
      <c r="F50" s="3"/>
      <c r="G50" s="3"/>
      <c r="H50" s="9"/>
    </row>
    <row r="51" spans="1:8" x14ac:dyDescent="0.25">
      <c r="A51" s="3"/>
      <c r="B51" s="4"/>
      <c r="C51" s="3"/>
      <c r="D51" s="3"/>
      <c r="E51" s="3"/>
      <c r="F51" s="3"/>
      <c r="G51" s="3"/>
      <c r="H51" s="9"/>
    </row>
    <row r="52" spans="1:8" x14ac:dyDescent="0.25">
      <c r="A52" s="3"/>
      <c r="B52" s="4"/>
      <c r="C52" s="3"/>
      <c r="D52" s="3"/>
      <c r="E52" s="3"/>
      <c r="F52" s="3"/>
      <c r="G52" s="3"/>
      <c r="H52" s="9"/>
    </row>
    <row r="53" spans="1:8" x14ac:dyDescent="0.25">
      <c r="A53" s="3"/>
      <c r="B53" s="4"/>
      <c r="C53" s="3"/>
      <c r="D53" s="3"/>
      <c r="E53" s="3"/>
      <c r="F53" s="3"/>
      <c r="G53" s="3"/>
      <c r="H53" s="9"/>
    </row>
    <row r="54" spans="1:8" x14ac:dyDescent="0.25">
      <c r="A54" s="3"/>
      <c r="B54" s="4"/>
      <c r="C54" s="3"/>
      <c r="D54" s="3"/>
      <c r="E54" s="3"/>
      <c r="F54" s="3"/>
      <c r="G54" s="3"/>
      <c r="H54" s="9"/>
    </row>
    <row r="55" spans="1:8" x14ac:dyDescent="0.25">
      <c r="A55" s="3"/>
      <c r="B55" s="4"/>
      <c r="C55" s="3"/>
      <c r="D55" s="3"/>
      <c r="E55" s="3"/>
      <c r="F55" s="3"/>
      <c r="G55" s="3"/>
      <c r="H55" s="9"/>
    </row>
    <row r="56" spans="1:8" x14ac:dyDescent="0.25">
      <c r="A56" s="3"/>
      <c r="B56" s="4"/>
      <c r="C56" s="3"/>
      <c r="D56" s="3"/>
      <c r="E56" s="3"/>
      <c r="F56" s="3"/>
      <c r="G56" s="3"/>
      <c r="H56" s="9"/>
    </row>
    <row r="57" spans="1:8" x14ac:dyDescent="0.25">
      <c r="A57" s="3"/>
      <c r="B57" s="4"/>
      <c r="C57" s="3"/>
      <c r="D57" s="3"/>
      <c r="E57" s="3"/>
      <c r="F57" s="3"/>
      <c r="G57" s="3"/>
      <c r="H57" s="9"/>
    </row>
    <row r="58" spans="1:8" x14ac:dyDescent="0.25">
      <c r="A58" s="3"/>
      <c r="B58" s="4"/>
      <c r="C58" s="3"/>
      <c r="D58" s="3"/>
      <c r="E58" s="3"/>
      <c r="F58" s="3"/>
      <c r="G58" s="3"/>
      <c r="H58" s="9"/>
    </row>
    <row r="59" spans="1:8" x14ac:dyDescent="0.25">
      <c r="A59" s="3"/>
      <c r="B59" s="4"/>
      <c r="C59" s="3"/>
      <c r="D59" s="3"/>
      <c r="E59" s="3"/>
      <c r="F59" s="3"/>
      <c r="G59" s="3"/>
      <c r="H59" s="9"/>
    </row>
    <row r="60" spans="1:8" x14ac:dyDescent="0.25">
      <c r="A60" s="3"/>
      <c r="B60" s="4"/>
      <c r="C60" s="3"/>
      <c r="D60" s="3"/>
      <c r="E60" s="3"/>
      <c r="F60" s="3"/>
      <c r="G60" s="3"/>
      <c r="H60" s="9"/>
    </row>
    <row r="61" spans="1:8" x14ac:dyDescent="0.25">
      <c r="A61" s="3"/>
      <c r="B61" s="4"/>
      <c r="C61" s="3"/>
      <c r="D61" s="3"/>
      <c r="E61" s="3"/>
      <c r="F61" s="3"/>
      <c r="G61" s="3"/>
      <c r="H61" s="9"/>
    </row>
    <row r="62" spans="1:8" x14ac:dyDescent="0.25">
      <c r="A62" s="3"/>
      <c r="B62" s="4"/>
      <c r="C62" s="3"/>
      <c r="D62" s="3"/>
      <c r="E62" s="3"/>
      <c r="F62" s="3"/>
      <c r="G62" s="3"/>
      <c r="H62" s="9"/>
    </row>
    <row r="63" spans="1:8" x14ac:dyDescent="0.25">
      <c r="A63" s="3"/>
      <c r="B63" s="4"/>
      <c r="C63" s="3"/>
      <c r="D63" s="3"/>
      <c r="E63" s="3"/>
      <c r="F63" s="3"/>
      <c r="G63" s="3"/>
      <c r="H63" s="9"/>
    </row>
    <row r="64" spans="1:8" x14ac:dyDescent="0.25">
      <c r="A64" s="3"/>
      <c r="B64" s="4"/>
      <c r="C64" s="3"/>
      <c r="D64" s="3"/>
      <c r="E64" s="3"/>
      <c r="F64" s="3"/>
      <c r="G64" s="3"/>
      <c r="H64" s="9"/>
    </row>
    <row r="65" spans="1:8" x14ac:dyDescent="0.25">
      <c r="A65" s="3"/>
      <c r="B65" s="4"/>
      <c r="C65" s="3"/>
      <c r="D65" s="3"/>
      <c r="E65" s="3"/>
      <c r="F65" s="3"/>
      <c r="G65" s="3"/>
      <c r="H65" s="9"/>
    </row>
    <row r="66" spans="1:8" x14ac:dyDescent="0.25">
      <c r="A66" s="3"/>
      <c r="B66" s="4"/>
      <c r="C66" s="3"/>
      <c r="D66" s="3"/>
      <c r="E66" s="3"/>
      <c r="F66" s="3"/>
      <c r="G66" s="3"/>
      <c r="H66" s="9"/>
    </row>
    <row r="67" spans="1:8" x14ac:dyDescent="0.25">
      <c r="A67" s="3"/>
      <c r="B67" s="5"/>
      <c r="C67" s="3"/>
      <c r="D67" s="3"/>
      <c r="E67" s="3"/>
      <c r="F67" s="3"/>
      <c r="G67" s="3"/>
      <c r="H67" s="9"/>
    </row>
    <row r="68" spans="1:8" x14ac:dyDescent="0.25">
      <c r="A68" s="3"/>
      <c r="B68" s="5"/>
      <c r="C68" s="3"/>
      <c r="D68" s="3"/>
      <c r="E68" s="3"/>
      <c r="F68" s="3"/>
      <c r="G68" s="3"/>
      <c r="H68" s="9"/>
    </row>
    <row r="69" spans="1:8" x14ac:dyDescent="0.25">
      <c r="A69" s="3"/>
      <c r="B69" s="5"/>
      <c r="C69" s="3"/>
      <c r="D69" s="3"/>
      <c r="E69" s="3"/>
      <c r="F69" s="3"/>
      <c r="G69" s="3"/>
      <c r="H69" s="9"/>
    </row>
    <row r="70" spans="1:8" x14ac:dyDescent="0.25">
      <c r="A70" s="3"/>
      <c r="B70" s="5"/>
      <c r="C70" s="3"/>
      <c r="D70" s="3"/>
      <c r="E70" s="3"/>
      <c r="F70" s="3"/>
      <c r="G70" s="3"/>
      <c r="H70" s="9"/>
    </row>
    <row r="71" spans="1:8" x14ac:dyDescent="0.25">
      <c r="A71" s="3"/>
      <c r="B71" s="5"/>
      <c r="C71" s="3"/>
      <c r="D71" s="3"/>
      <c r="E71" s="3"/>
      <c r="F71" s="3"/>
      <c r="G71" s="3"/>
      <c r="H71" s="9"/>
    </row>
    <row r="72" spans="1:8" x14ac:dyDescent="0.25">
      <c r="A72" s="3"/>
      <c r="B72" s="5"/>
      <c r="C72" s="3"/>
      <c r="D72" s="3"/>
      <c r="E72" s="3"/>
      <c r="F72" s="3"/>
      <c r="G72" s="3"/>
      <c r="H72" s="9"/>
    </row>
    <row r="73" spans="1:8" x14ac:dyDescent="0.25">
      <c r="A73" s="3"/>
      <c r="B73" s="5"/>
      <c r="C73" s="3"/>
      <c r="D73" s="3"/>
      <c r="E73" s="3"/>
      <c r="F73" s="3"/>
      <c r="G73" s="3"/>
      <c r="H73" s="9"/>
    </row>
    <row r="74" spans="1:8" x14ac:dyDescent="0.25">
      <c r="A74" s="3"/>
      <c r="B74" s="5"/>
      <c r="C74" s="3"/>
      <c r="D74" s="3"/>
      <c r="E74" s="3"/>
      <c r="F74" s="3"/>
      <c r="G74" s="3"/>
      <c r="H74" s="9"/>
    </row>
    <row r="75" spans="1:8" x14ac:dyDescent="0.25">
      <c r="A75" s="3"/>
      <c r="B75" s="5"/>
      <c r="C75" s="3"/>
      <c r="D75" s="3"/>
      <c r="E75" s="3"/>
      <c r="F75" s="3"/>
      <c r="G75" s="3"/>
      <c r="H75" s="9"/>
    </row>
    <row r="76" spans="1:8" x14ac:dyDescent="0.25">
      <c r="A76" s="3"/>
      <c r="B76" s="5"/>
      <c r="C76" s="3"/>
      <c r="D76" s="3"/>
      <c r="E76" s="3"/>
      <c r="F76" s="3"/>
      <c r="G76" s="3"/>
      <c r="H76" s="9"/>
    </row>
    <row r="77" spans="1:8" x14ac:dyDescent="0.25">
      <c r="A77" s="3"/>
      <c r="B77" s="5"/>
      <c r="C77" s="3"/>
      <c r="D77" s="3"/>
      <c r="E77" s="3"/>
      <c r="F77" s="3"/>
      <c r="G77" s="3"/>
      <c r="H77" s="9"/>
    </row>
    <row r="78" spans="1:8" x14ac:dyDescent="0.25">
      <c r="A78" s="3"/>
      <c r="B78" s="5"/>
      <c r="C78" s="3"/>
      <c r="D78" s="3"/>
      <c r="E78" s="3"/>
      <c r="F78" s="3"/>
      <c r="G78" s="3"/>
      <c r="H78" s="9"/>
    </row>
    <row r="79" spans="1:8" x14ac:dyDescent="0.25">
      <c r="A79" s="3"/>
      <c r="B79" s="5"/>
      <c r="C79" s="3"/>
      <c r="D79" s="3"/>
      <c r="E79" s="3"/>
      <c r="F79" s="3"/>
      <c r="G79" s="3"/>
      <c r="H79" s="9"/>
    </row>
    <row r="80" spans="1:8" x14ac:dyDescent="0.25">
      <c r="A80" s="3"/>
      <c r="B80" s="5"/>
      <c r="C80" s="3"/>
      <c r="D80" s="3"/>
      <c r="E80" s="3"/>
      <c r="F80" s="3"/>
      <c r="G80" s="3"/>
      <c r="H80" s="9"/>
    </row>
    <row r="81" spans="1:8" x14ac:dyDescent="0.25">
      <c r="A81" s="3"/>
      <c r="B81" s="5"/>
      <c r="C81" s="3"/>
      <c r="D81" s="3"/>
      <c r="E81" s="3"/>
      <c r="F81" s="3"/>
      <c r="G81" s="3"/>
      <c r="H81" s="9"/>
    </row>
    <row r="82" spans="1:8" x14ac:dyDescent="0.25">
      <c r="A82" s="3"/>
      <c r="B82" s="5"/>
      <c r="C82" s="3"/>
      <c r="D82" s="3"/>
      <c r="E82" s="3"/>
      <c r="F82" s="3"/>
      <c r="G82" s="3"/>
      <c r="H82" s="9"/>
    </row>
    <row r="83" spans="1:8" x14ac:dyDescent="0.25">
      <c r="A83" s="3"/>
      <c r="B83" s="5"/>
      <c r="C83" s="3"/>
      <c r="D83" s="3"/>
      <c r="E83" s="3"/>
      <c r="F83" s="3"/>
      <c r="G83" s="3"/>
      <c r="H83" s="9"/>
    </row>
    <row r="84" spans="1:8" x14ac:dyDescent="0.25">
      <c r="A84" s="3"/>
      <c r="B84" s="5"/>
      <c r="C84" s="3"/>
      <c r="D84" s="3"/>
      <c r="E84" s="3"/>
      <c r="F84" s="3"/>
      <c r="G84" s="3"/>
      <c r="H84" s="9"/>
    </row>
    <row r="85" spans="1:8" x14ac:dyDescent="0.25">
      <c r="A85" s="3"/>
      <c r="B85" s="5"/>
      <c r="C85" s="3"/>
      <c r="D85" s="3"/>
      <c r="E85" s="3"/>
      <c r="F85" s="3"/>
      <c r="G85" s="3"/>
      <c r="H85" s="9"/>
    </row>
    <row r="86" spans="1:8" x14ac:dyDescent="0.25">
      <c r="A86" s="3"/>
      <c r="B86" s="5"/>
      <c r="C86" s="3"/>
      <c r="D86" s="3"/>
      <c r="E86" s="3"/>
      <c r="F86" s="3"/>
      <c r="G86" s="3"/>
      <c r="H86" s="9"/>
    </row>
    <row r="87" spans="1:8" x14ac:dyDescent="0.25">
      <c r="A87" s="3"/>
      <c r="B87" s="5"/>
      <c r="C87" s="3"/>
      <c r="D87" s="3"/>
      <c r="E87" s="3"/>
      <c r="F87" s="3"/>
      <c r="G87" s="3"/>
      <c r="H87" s="9"/>
    </row>
    <row r="88" spans="1:8" x14ac:dyDescent="0.25">
      <c r="A88" s="3"/>
      <c r="B88" s="5"/>
      <c r="C88" s="3"/>
      <c r="D88" s="3"/>
      <c r="E88" s="3"/>
      <c r="F88" s="3"/>
      <c r="G88" s="3"/>
      <c r="H88" s="9"/>
    </row>
    <row r="90" spans="1:8" x14ac:dyDescent="0.25">
      <c r="E90" s="7"/>
      <c r="F90" s="7"/>
    </row>
  </sheetData>
  <customSheetViews>
    <customSheetView guid="{73E51341-71DF-40F5-871E-A9521C1C0B01}" state="hidden">
      <selection activeCell="G2" sqref="G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7" tint="-0.249977111117893"/>
  </sheetPr>
  <dimension ref="A1:L501"/>
  <sheetViews>
    <sheetView zoomScale="98" zoomScaleNormal="98" workbookViewId="0">
      <selection activeCell="A5" sqref="A5"/>
    </sheetView>
  </sheetViews>
  <sheetFormatPr baseColWidth="10" defaultRowHeight="12.75" x14ac:dyDescent="0.2"/>
  <cols>
    <col min="1" max="1" width="5" style="42" bestFit="1" customWidth="1"/>
    <col min="2" max="2" width="6.140625" style="42" bestFit="1" customWidth="1"/>
    <col min="3" max="3" width="10.28515625" style="42" bestFit="1" customWidth="1"/>
    <col min="4" max="4" width="7.7109375" style="42" bestFit="1" customWidth="1"/>
    <col min="5" max="5" width="4.140625" style="42" bestFit="1" customWidth="1"/>
    <col min="6" max="6" width="5.140625" style="42" bestFit="1" customWidth="1"/>
    <col min="7" max="7" width="34.28515625" style="42" bestFit="1" customWidth="1"/>
    <col min="8" max="8" width="14.5703125" style="42" bestFit="1" customWidth="1"/>
    <col min="9" max="9" width="16" style="42" bestFit="1" customWidth="1"/>
    <col min="10" max="10" width="11.140625" style="42" bestFit="1" customWidth="1"/>
    <col min="11" max="11" width="12.42578125" style="43" bestFit="1" customWidth="1"/>
    <col min="12" max="12" width="24.140625" style="49" bestFit="1" customWidth="1"/>
    <col min="13" max="16384" width="11.42578125" style="42"/>
  </cols>
  <sheetData>
    <row r="1" spans="1:12" ht="25.5" customHeight="1" x14ac:dyDescent="0.2">
      <c r="A1" s="41"/>
      <c r="J1" s="50"/>
      <c r="K1" s="51" t="s">
        <v>1116</v>
      </c>
      <c r="L1" s="53">
        <f>COUNTA(OrderHeader!A:A)-4</f>
        <v>1</v>
      </c>
    </row>
    <row r="2" spans="1:12" ht="22.5" customHeight="1" x14ac:dyDescent="0.2">
      <c r="D2" s="41"/>
      <c r="E2" s="41"/>
      <c r="F2" s="41"/>
      <c r="J2" s="52"/>
      <c r="K2" s="51" t="s">
        <v>1117</v>
      </c>
      <c r="L2" s="53">
        <f>COUNTA(A:A) -1</f>
        <v>1</v>
      </c>
    </row>
    <row r="3" spans="1:12" ht="27" customHeight="1" x14ac:dyDescent="0.2">
      <c r="J3" s="50"/>
      <c r="K3" s="51" t="s">
        <v>1118</v>
      </c>
      <c r="L3" s="53">
        <f>SUM(E:E)</f>
        <v>130</v>
      </c>
    </row>
    <row r="4" spans="1:12" ht="31.5" customHeight="1" x14ac:dyDescent="0.2">
      <c r="A4" s="45" t="s">
        <v>1177</v>
      </c>
      <c r="B4" s="45" t="s">
        <v>15</v>
      </c>
      <c r="C4" s="45" t="s">
        <v>1178</v>
      </c>
      <c r="D4" s="45" t="s">
        <v>1179</v>
      </c>
      <c r="E4" s="45" t="s">
        <v>1180</v>
      </c>
      <c r="F4" s="45" t="s">
        <v>1187</v>
      </c>
      <c r="G4" s="45" t="s">
        <v>1181</v>
      </c>
      <c r="H4" s="45" t="s">
        <v>1182</v>
      </c>
      <c r="I4" s="45" t="s">
        <v>1183</v>
      </c>
      <c r="J4" s="45" t="s">
        <v>1184</v>
      </c>
      <c r="K4" s="46" t="s">
        <v>1185</v>
      </c>
      <c r="L4" s="47" t="s">
        <v>1186</v>
      </c>
    </row>
    <row r="5" spans="1:12" s="43" customFormat="1" x14ac:dyDescent="0.2">
      <c r="A5" s="42" t="s">
        <v>15</v>
      </c>
      <c r="B5" s="42">
        <v>22965</v>
      </c>
      <c r="C5" s="44">
        <v>43431</v>
      </c>
      <c r="D5" s="42" t="s">
        <v>1198</v>
      </c>
      <c r="E5" s="42">
        <v>130</v>
      </c>
      <c r="F5" s="42">
        <v>1726</v>
      </c>
      <c r="G5" s="42" t="s">
        <v>1199</v>
      </c>
      <c r="H5" s="42" t="s">
        <v>1200</v>
      </c>
      <c r="I5" s="42" t="s">
        <v>1201</v>
      </c>
      <c r="J5" s="42" t="s">
        <v>1121</v>
      </c>
      <c r="K5" s="43" t="str">
        <f>IF(B5&lt;&gt;0,IF(J5="Usados","RET",""),"")</f>
        <v/>
      </c>
      <c r="L5" s="48" t="str">
        <f>IF(B5&lt;&gt;0,IFERROR(UPPER(VLOOKUP(F5,Clientes!A:B,2,0)),"REGISTRAR CLIENTE"),"")</f>
        <v>REGISTRAR CLIENTE</v>
      </c>
    </row>
    <row r="6" spans="1:12" s="43" customFormat="1" x14ac:dyDescent="0.2">
      <c r="A6" s="42"/>
      <c r="B6" s="42"/>
      <c r="C6" s="44"/>
      <c r="D6" s="42"/>
      <c r="E6" s="42"/>
      <c r="F6" s="42"/>
      <c r="G6" s="42"/>
      <c r="H6" s="42"/>
      <c r="I6" s="42"/>
      <c r="J6" s="42"/>
      <c r="K6" s="43" t="str">
        <f>IF(B6&lt;&gt;0,IF(J6="Usados","RET",""),"")</f>
        <v/>
      </c>
      <c r="L6" s="48" t="str">
        <f>IF(B6&lt;&gt;0,IFERROR(UPPER(VLOOKUP(F6,Clientes!A:B,2,0)),"REGISTRAR CLIENTE"),"")</f>
        <v/>
      </c>
    </row>
    <row r="7" spans="1:12" s="43" customFormat="1" x14ac:dyDescent="0.2">
      <c r="A7" s="42"/>
      <c r="B7" s="42"/>
      <c r="C7" s="44"/>
      <c r="D7" s="42"/>
      <c r="E7" s="42"/>
      <c r="F7" s="42"/>
      <c r="G7" s="42"/>
      <c r="H7" s="42"/>
      <c r="I7" s="42"/>
      <c r="J7" s="42"/>
      <c r="K7" s="43" t="str">
        <f t="shared" ref="K7:K70" si="0">IF(B7&lt;&gt;0,IF(J7="Usados","RET",""),"")</f>
        <v/>
      </c>
      <c r="L7" s="48" t="str">
        <f>IF(B7&lt;&gt;0,IFERROR(UPPER(VLOOKUP(F7,Clientes!A:B,2,0)),"REGISTRAR CLIENTE"),"")</f>
        <v/>
      </c>
    </row>
    <row r="8" spans="1:12" s="43" customFormat="1" x14ac:dyDescent="0.2">
      <c r="A8" s="42"/>
      <c r="B8" s="42"/>
      <c r="C8" s="44"/>
      <c r="D8" s="42"/>
      <c r="E8" s="42"/>
      <c r="F8" s="42"/>
      <c r="G8" s="42"/>
      <c r="H8" s="42"/>
      <c r="I8" s="42"/>
      <c r="J8" s="42"/>
      <c r="K8" s="43" t="str">
        <f t="shared" si="0"/>
        <v/>
      </c>
      <c r="L8" s="48" t="str">
        <f>IF(B8&lt;&gt;0,IFERROR(UPPER(VLOOKUP(F8,Clientes!A:B,2,0)),"REGISTRAR CLIENTE"),"")</f>
        <v/>
      </c>
    </row>
    <row r="9" spans="1:12" s="43" customFormat="1" x14ac:dyDescent="0.2">
      <c r="A9" s="42"/>
      <c r="B9" s="42"/>
      <c r="C9" s="44"/>
      <c r="D9" s="42"/>
      <c r="E9" s="42"/>
      <c r="F9" s="42"/>
      <c r="G9" s="42"/>
      <c r="H9" s="42"/>
      <c r="I9" s="42"/>
      <c r="J9" s="42"/>
      <c r="K9" s="43" t="str">
        <f t="shared" si="0"/>
        <v/>
      </c>
      <c r="L9" s="48" t="str">
        <f>IF(B9&lt;&gt;0,IFERROR(UPPER(VLOOKUP(F9,Clientes!A:B,2,0)),"REGISTRAR CLIENTE"),"")</f>
        <v/>
      </c>
    </row>
    <row r="10" spans="1:12" s="43" customFormat="1" x14ac:dyDescent="0.2">
      <c r="A10" s="42"/>
      <c r="B10" s="42"/>
      <c r="C10" s="44"/>
      <c r="D10" s="42"/>
      <c r="E10" s="42"/>
      <c r="F10" s="42"/>
      <c r="G10" s="42"/>
      <c r="H10" s="42"/>
      <c r="I10" s="42"/>
      <c r="J10" s="42"/>
      <c r="K10" s="43" t="str">
        <f t="shared" si="0"/>
        <v/>
      </c>
      <c r="L10" s="48" t="str">
        <f>IF(B10&lt;&gt;0,IFERROR(UPPER(VLOOKUP(F10,Clientes!A:B,2,0)),"REGISTRAR CLIENTE"),"")</f>
        <v/>
      </c>
    </row>
    <row r="11" spans="1:12" s="43" customFormat="1" x14ac:dyDescent="0.2">
      <c r="A11" s="42"/>
      <c r="B11" s="42"/>
      <c r="C11" s="44"/>
      <c r="D11" s="42"/>
      <c r="E11" s="42"/>
      <c r="F11" s="42"/>
      <c r="G11" s="42"/>
      <c r="H11" s="42"/>
      <c r="I11" s="42"/>
      <c r="J11" s="42"/>
      <c r="K11" s="43" t="str">
        <f t="shared" si="0"/>
        <v/>
      </c>
      <c r="L11" s="48" t="str">
        <f>IF(B11&lt;&gt;0,IFERROR(UPPER(VLOOKUP(F11,Clientes!A:B,2,0)),"REGISTRAR CLIENTE"),"")</f>
        <v/>
      </c>
    </row>
    <row r="12" spans="1:12" s="43" customFormat="1" x14ac:dyDescent="0.2">
      <c r="A12" s="42"/>
      <c r="B12" s="42"/>
      <c r="C12" s="44"/>
      <c r="D12" s="42"/>
      <c r="E12" s="42"/>
      <c r="F12" s="42"/>
      <c r="G12" s="42"/>
      <c r="H12" s="42"/>
      <c r="I12" s="42"/>
      <c r="J12" s="42"/>
      <c r="K12" s="43" t="str">
        <f t="shared" si="0"/>
        <v/>
      </c>
      <c r="L12" s="48" t="str">
        <f>IF(B12&lt;&gt;0,IFERROR(UPPER(VLOOKUP(F12,Clientes!A:B,2,0)),"REGISTRAR CLIENTE"),"")</f>
        <v/>
      </c>
    </row>
    <row r="13" spans="1:12" s="43" customFormat="1" x14ac:dyDescent="0.2">
      <c r="A13" s="42"/>
      <c r="B13" s="42"/>
      <c r="C13" s="44"/>
      <c r="D13" s="42"/>
      <c r="E13" s="42"/>
      <c r="F13" s="42"/>
      <c r="G13" s="42"/>
      <c r="H13" s="42"/>
      <c r="I13" s="42"/>
      <c r="J13" s="42"/>
      <c r="K13" s="43" t="str">
        <f t="shared" si="0"/>
        <v/>
      </c>
      <c r="L13" s="48" t="str">
        <f>IF(B13&lt;&gt;0,IFERROR(UPPER(VLOOKUP(F13,Clientes!A:B,2,0)),"REGISTRAR CLIENTE"),"")</f>
        <v/>
      </c>
    </row>
    <row r="14" spans="1:12" s="43" customFormat="1" x14ac:dyDescent="0.2">
      <c r="A14" s="42"/>
      <c r="B14" s="42"/>
      <c r="C14" s="44"/>
      <c r="D14" s="42"/>
      <c r="E14" s="42"/>
      <c r="F14" s="42"/>
      <c r="G14" s="42"/>
      <c r="H14" s="42"/>
      <c r="I14" s="42"/>
      <c r="J14" s="42"/>
      <c r="K14" s="43" t="str">
        <f t="shared" si="0"/>
        <v/>
      </c>
      <c r="L14" s="48" t="str">
        <f>IF(B14&lt;&gt;0,IFERROR(UPPER(VLOOKUP(F14,Clientes!A:B,2,0)),"REGISTRAR CLIENTE"),"")</f>
        <v/>
      </c>
    </row>
    <row r="15" spans="1:12" s="43" customFormat="1" x14ac:dyDescent="0.2">
      <c r="A15" s="42"/>
      <c r="B15" s="42"/>
      <c r="C15" s="44"/>
      <c r="D15" s="42"/>
      <c r="E15" s="42"/>
      <c r="F15" s="42"/>
      <c r="G15" s="42"/>
      <c r="H15" s="42"/>
      <c r="I15" s="42"/>
      <c r="J15" s="42"/>
      <c r="K15" s="43" t="str">
        <f t="shared" si="0"/>
        <v/>
      </c>
      <c r="L15" s="48" t="str">
        <f>IF(B15&lt;&gt;0,IFERROR(UPPER(VLOOKUP(F15,Clientes!A:B,2,0)),"REGISTRAR CLIENTE"),"")</f>
        <v/>
      </c>
    </row>
    <row r="16" spans="1:12" s="43" customFormat="1" x14ac:dyDescent="0.2">
      <c r="A16" s="42"/>
      <c r="B16" s="42"/>
      <c r="C16" s="44"/>
      <c r="D16" s="42"/>
      <c r="E16" s="42"/>
      <c r="F16" s="42"/>
      <c r="G16" s="42"/>
      <c r="H16" s="42"/>
      <c r="I16" s="42"/>
      <c r="J16" s="42"/>
      <c r="K16" s="43" t="str">
        <f t="shared" si="0"/>
        <v/>
      </c>
      <c r="L16" s="48" t="str">
        <f>IF(B16&lt;&gt;0,IFERROR(UPPER(VLOOKUP(F16,Clientes!A:B,2,0)),"REGISTRAR CLIENTE"),"")</f>
        <v/>
      </c>
    </row>
    <row r="17" spans="1:12" s="43" customFormat="1" x14ac:dyDescent="0.2">
      <c r="A17" s="42"/>
      <c r="B17" s="42"/>
      <c r="C17" s="44"/>
      <c r="D17" s="42"/>
      <c r="E17" s="42"/>
      <c r="F17" s="42"/>
      <c r="G17" s="42"/>
      <c r="H17" s="42"/>
      <c r="I17" s="42"/>
      <c r="J17" s="42"/>
      <c r="K17" s="43" t="str">
        <f t="shared" si="0"/>
        <v/>
      </c>
      <c r="L17" s="48" t="str">
        <f>IF(B17&lt;&gt;0,IFERROR(UPPER(VLOOKUP(F17,Clientes!A:B,2,0)),"REGISTRAR CLIENTE"),"")</f>
        <v/>
      </c>
    </row>
    <row r="18" spans="1:12" s="43" customFormat="1" x14ac:dyDescent="0.2">
      <c r="A18" s="42"/>
      <c r="B18" s="42"/>
      <c r="C18" s="44"/>
      <c r="D18" s="42"/>
      <c r="E18" s="42"/>
      <c r="F18" s="42"/>
      <c r="G18" s="42"/>
      <c r="H18" s="42"/>
      <c r="I18" s="42"/>
      <c r="J18" s="42"/>
      <c r="K18" s="43" t="str">
        <f t="shared" si="0"/>
        <v/>
      </c>
      <c r="L18" s="48" t="str">
        <f>IF(B18&lt;&gt;0,IFERROR(UPPER(VLOOKUP(F18,Clientes!A:B,2,0)),"REGISTRAR CLIENTE"),"")</f>
        <v/>
      </c>
    </row>
    <row r="19" spans="1:12" s="43" customFormat="1" x14ac:dyDescent="0.2">
      <c r="A19" s="42"/>
      <c r="B19" s="42"/>
      <c r="C19" s="44"/>
      <c r="D19" s="42"/>
      <c r="E19" s="42"/>
      <c r="F19" s="42"/>
      <c r="G19" s="42"/>
      <c r="H19" s="42"/>
      <c r="I19" s="42"/>
      <c r="J19" s="42"/>
      <c r="K19" s="43" t="str">
        <f t="shared" si="0"/>
        <v/>
      </c>
      <c r="L19" s="48" t="str">
        <f>IF(B19&lt;&gt;0,IFERROR(UPPER(VLOOKUP(F19,Clientes!A:B,2,0)),"REGISTRAR CLIENTE"),"")</f>
        <v/>
      </c>
    </row>
    <row r="20" spans="1:12" s="43" customFormat="1" x14ac:dyDescent="0.2">
      <c r="A20" s="42"/>
      <c r="B20" s="42"/>
      <c r="C20" s="44"/>
      <c r="D20" s="42"/>
      <c r="E20" s="42"/>
      <c r="F20" s="42"/>
      <c r="G20" s="42"/>
      <c r="H20" s="42"/>
      <c r="I20" s="42"/>
      <c r="J20" s="42"/>
      <c r="K20" s="43" t="str">
        <f t="shared" si="0"/>
        <v/>
      </c>
      <c r="L20" s="48" t="str">
        <f>IF(B20&lt;&gt;0,IFERROR(UPPER(VLOOKUP(F20,Clientes!A:B,2,0)),"REGISTRAR CLIENTE"),"")</f>
        <v/>
      </c>
    </row>
    <row r="21" spans="1:12" s="43" customFormat="1" x14ac:dyDescent="0.2">
      <c r="A21" s="42"/>
      <c r="B21" s="42"/>
      <c r="C21" s="44"/>
      <c r="D21" s="42"/>
      <c r="E21" s="42"/>
      <c r="F21" s="42"/>
      <c r="G21" s="42"/>
      <c r="H21" s="42"/>
      <c r="I21" s="42"/>
      <c r="J21" s="42"/>
      <c r="K21" s="43" t="str">
        <f t="shared" si="0"/>
        <v/>
      </c>
      <c r="L21" s="48" t="str">
        <f>IF(B21&lt;&gt;0,IFERROR(UPPER(VLOOKUP(F21,Clientes!A:B,2,0)),"REGISTRAR CLIENTE"),"")</f>
        <v/>
      </c>
    </row>
    <row r="22" spans="1:12" s="43" customFormat="1" x14ac:dyDescent="0.2">
      <c r="A22" s="42"/>
      <c r="B22" s="42"/>
      <c r="C22" s="44"/>
      <c r="D22" s="42"/>
      <c r="E22" s="42"/>
      <c r="F22" s="42"/>
      <c r="G22" s="42"/>
      <c r="H22" s="42"/>
      <c r="I22" s="42"/>
      <c r="J22" s="42"/>
      <c r="K22" s="43" t="str">
        <f t="shared" si="0"/>
        <v/>
      </c>
      <c r="L22" s="48" t="str">
        <f>IF(B22&lt;&gt;0,IFERROR(UPPER(VLOOKUP(F22,Clientes!A:B,2,0)),"REGISTRAR CLIENTE"),"")</f>
        <v/>
      </c>
    </row>
    <row r="23" spans="1:12" s="43" customFormat="1" x14ac:dyDescent="0.2">
      <c r="A23" s="42"/>
      <c r="B23" s="42"/>
      <c r="C23" s="44"/>
      <c r="D23" s="42"/>
      <c r="E23" s="42"/>
      <c r="F23" s="42"/>
      <c r="G23" s="42"/>
      <c r="H23" s="42"/>
      <c r="I23" s="42"/>
      <c r="J23" s="42"/>
      <c r="K23" s="43" t="str">
        <f t="shared" si="0"/>
        <v/>
      </c>
      <c r="L23" s="48" t="str">
        <f>IF(B23&lt;&gt;0,IFERROR(UPPER(VLOOKUP(F23,Clientes!A:B,2,0)),"REGISTRAR CLIENTE"),"")</f>
        <v/>
      </c>
    </row>
    <row r="24" spans="1:12" s="43" customFormat="1" x14ac:dyDescent="0.2">
      <c r="A24" s="42"/>
      <c r="B24" s="42"/>
      <c r="C24" s="44"/>
      <c r="D24" s="42"/>
      <c r="E24" s="42"/>
      <c r="F24" s="42"/>
      <c r="G24" s="42"/>
      <c r="H24" s="42"/>
      <c r="I24" s="42"/>
      <c r="J24" s="42"/>
      <c r="K24" s="43" t="str">
        <f t="shared" si="0"/>
        <v/>
      </c>
      <c r="L24" s="48" t="str">
        <f>IF(B24&lt;&gt;0,IFERROR(UPPER(VLOOKUP(F24,Clientes!A:B,2,0)),"REGISTRAR CLIENTE"),"")</f>
        <v/>
      </c>
    </row>
    <row r="25" spans="1:12" s="43" customFormat="1" x14ac:dyDescent="0.2">
      <c r="A25" s="42"/>
      <c r="B25" s="42"/>
      <c r="C25" s="44"/>
      <c r="D25" s="42"/>
      <c r="E25" s="42"/>
      <c r="F25" s="42"/>
      <c r="G25" s="42"/>
      <c r="H25" s="42"/>
      <c r="I25" s="42"/>
      <c r="J25" s="42"/>
      <c r="K25" s="43" t="str">
        <f t="shared" si="0"/>
        <v/>
      </c>
      <c r="L25" s="48" t="str">
        <f>IF(B25&lt;&gt;0,IFERROR(UPPER(VLOOKUP(F25,Clientes!A:B,2,0)),"REGISTRAR CLIENTE"),"")</f>
        <v/>
      </c>
    </row>
    <row r="26" spans="1:12" s="43" customFormat="1" x14ac:dyDescent="0.2">
      <c r="A26" s="42"/>
      <c r="B26" s="42"/>
      <c r="C26" s="44"/>
      <c r="D26" s="42"/>
      <c r="E26" s="42"/>
      <c r="F26" s="42"/>
      <c r="G26" s="42"/>
      <c r="H26" s="42"/>
      <c r="I26" s="42"/>
      <c r="J26" s="42"/>
      <c r="K26" s="43" t="str">
        <f t="shared" si="0"/>
        <v/>
      </c>
      <c r="L26" s="48" t="str">
        <f>IF(B26&lt;&gt;0,IFERROR(UPPER(VLOOKUP(F26,Clientes!A:B,2,0)),"REGISTRAR CLIENTE"),"")</f>
        <v/>
      </c>
    </row>
    <row r="27" spans="1:12" s="43" customFormat="1" x14ac:dyDescent="0.2">
      <c r="A27" s="42"/>
      <c r="B27" s="42"/>
      <c r="C27" s="44"/>
      <c r="D27" s="42"/>
      <c r="E27" s="42"/>
      <c r="F27" s="42"/>
      <c r="G27" s="42"/>
      <c r="H27" s="42"/>
      <c r="I27" s="42"/>
      <c r="J27" s="42"/>
      <c r="K27" s="43" t="str">
        <f t="shared" si="0"/>
        <v/>
      </c>
      <c r="L27" s="48" t="str">
        <f>IF(B27&lt;&gt;0,IFERROR(UPPER(VLOOKUP(F27,Clientes!A:B,2,0)),"REGISTRAR CLIENTE"),"")</f>
        <v/>
      </c>
    </row>
    <row r="28" spans="1:12" s="43" customFormat="1" x14ac:dyDescent="0.2">
      <c r="A28" s="42"/>
      <c r="B28" s="42"/>
      <c r="C28" s="44"/>
      <c r="D28" s="42"/>
      <c r="E28" s="42"/>
      <c r="F28" s="42"/>
      <c r="G28" s="42"/>
      <c r="H28" s="42"/>
      <c r="I28" s="42"/>
      <c r="J28" s="42"/>
      <c r="K28" s="43" t="str">
        <f t="shared" si="0"/>
        <v/>
      </c>
      <c r="L28" s="48" t="str">
        <f>IF(B28&lt;&gt;0,IFERROR(UPPER(VLOOKUP(F28,Clientes!A:B,2,0)),"REGISTRAR CLIENTE"),"")</f>
        <v/>
      </c>
    </row>
    <row r="29" spans="1:12" s="43" customFormat="1" x14ac:dyDescent="0.2">
      <c r="A29" s="42"/>
      <c r="B29" s="42"/>
      <c r="C29" s="44"/>
      <c r="D29" s="42"/>
      <c r="E29" s="42"/>
      <c r="F29" s="42"/>
      <c r="G29" s="42"/>
      <c r="H29" s="42"/>
      <c r="I29" s="42"/>
      <c r="J29" s="42"/>
      <c r="K29" s="43" t="str">
        <f t="shared" si="0"/>
        <v/>
      </c>
      <c r="L29" s="48" t="str">
        <f>IF(B29&lt;&gt;0,IFERROR(UPPER(VLOOKUP(F29,Clientes!A:B,2,0)),"REGISTRAR CLIENTE"),"")</f>
        <v/>
      </c>
    </row>
    <row r="30" spans="1:12" s="43" customFormat="1" x14ac:dyDescent="0.2">
      <c r="A30" s="42"/>
      <c r="B30" s="42"/>
      <c r="C30" s="44"/>
      <c r="D30" s="42"/>
      <c r="E30" s="42"/>
      <c r="F30" s="42"/>
      <c r="G30" s="42"/>
      <c r="H30" s="42"/>
      <c r="I30" s="42"/>
      <c r="J30" s="42"/>
      <c r="K30" s="43" t="str">
        <f t="shared" si="0"/>
        <v/>
      </c>
      <c r="L30" s="48" t="str">
        <f>IF(B30&lt;&gt;0,IFERROR(UPPER(VLOOKUP(F30,Clientes!A:B,2,0)),"REGISTRAR CLIENTE"),"")</f>
        <v/>
      </c>
    </row>
    <row r="31" spans="1:12" s="43" customFormat="1" x14ac:dyDescent="0.2">
      <c r="A31" s="42"/>
      <c r="B31" s="42"/>
      <c r="C31" s="44"/>
      <c r="D31" s="42"/>
      <c r="E31" s="42"/>
      <c r="F31" s="42"/>
      <c r="G31" s="42"/>
      <c r="H31" s="42"/>
      <c r="I31" s="42"/>
      <c r="J31" s="42"/>
      <c r="K31" s="43" t="str">
        <f t="shared" si="0"/>
        <v/>
      </c>
      <c r="L31" s="48" t="str">
        <f>IF(B31&lt;&gt;0,IFERROR(UPPER(VLOOKUP(F31,Clientes!A:B,2,0)),"REGISTRAR CLIENTE"),"")</f>
        <v/>
      </c>
    </row>
    <row r="32" spans="1:12" s="43" customFormat="1" x14ac:dyDescent="0.2">
      <c r="A32" s="42"/>
      <c r="B32" s="42"/>
      <c r="C32" s="44"/>
      <c r="D32" s="42"/>
      <c r="E32" s="42"/>
      <c r="F32" s="42"/>
      <c r="G32" s="42"/>
      <c r="H32" s="42"/>
      <c r="I32" s="42"/>
      <c r="J32" s="42"/>
      <c r="K32" s="43" t="str">
        <f t="shared" si="0"/>
        <v/>
      </c>
      <c r="L32" s="48" t="str">
        <f>IF(B32&lt;&gt;0,IFERROR(UPPER(VLOOKUP(F32,Clientes!A:B,2,0)),"REGISTRAR CLIENTE"),"")</f>
        <v/>
      </c>
    </row>
    <row r="33" spans="1:12" s="43" customFormat="1" x14ac:dyDescent="0.2">
      <c r="A33" s="42"/>
      <c r="B33" s="42"/>
      <c r="C33" s="44"/>
      <c r="D33" s="42"/>
      <c r="E33" s="42"/>
      <c r="F33" s="42"/>
      <c r="G33" s="42"/>
      <c r="H33" s="42"/>
      <c r="I33" s="42"/>
      <c r="J33" s="42"/>
      <c r="K33" s="43" t="str">
        <f t="shared" si="0"/>
        <v/>
      </c>
      <c r="L33" s="48" t="str">
        <f>IF(B33&lt;&gt;0,IFERROR(UPPER(VLOOKUP(F33,Clientes!A:B,2,0)),"REGISTRAR CLIENTE"),"")</f>
        <v/>
      </c>
    </row>
    <row r="34" spans="1:12" s="43" customFormat="1" x14ac:dyDescent="0.2">
      <c r="A34" s="42"/>
      <c r="B34" s="42"/>
      <c r="C34" s="44"/>
      <c r="D34" s="42"/>
      <c r="E34" s="42"/>
      <c r="F34" s="42"/>
      <c r="G34" s="42"/>
      <c r="H34" s="42"/>
      <c r="I34" s="42"/>
      <c r="J34" s="42"/>
      <c r="K34" s="43" t="str">
        <f t="shared" si="0"/>
        <v/>
      </c>
      <c r="L34" s="48" t="str">
        <f>IF(B34&lt;&gt;0,IFERROR(UPPER(VLOOKUP(F34,Clientes!A:B,2,0)),"REGISTRAR CLIENTE"),"")</f>
        <v/>
      </c>
    </row>
    <row r="35" spans="1:12" s="43" customFormat="1" x14ac:dyDescent="0.2">
      <c r="A35" s="42"/>
      <c r="B35" s="42"/>
      <c r="C35" s="44"/>
      <c r="D35" s="42"/>
      <c r="E35" s="42"/>
      <c r="F35" s="42"/>
      <c r="G35" s="42"/>
      <c r="H35" s="42"/>
      <c r="I35" s="42"/>
      <c r="J35" s="42"/>
      <c r="K35" s="43" t="str">
        <f t="shared" si="0"/>
        <v/>
      </c>
      <c r="L35" s="48" t="str">
        <f>IF(B35&lt;&gt;0,IFERROR(UPPER(VLOOKUP(F35,Clientes!A:B,2,0)),"REGISTRAR CLIENTE"),"")</f>
        <v/>
      </c>
    </row>
    <row r="36" spans="1:12" s="43" customFormat="1" x14ac:dyDescent="0.2">
      <c r="A36" s="42"/>
      <c r="B36" s="42"/>
      <c r="C36" s="44"/>
      <c r="D36" s="42"/>
      <c r="E36" s="42"/>
      <c r="F36" s="42"/>
      <c r="G36" s="42"/>
      <c r="H36" s="42"/>
      <c r="I36" s="42"/>
      <c r="J36" s="42"/>
      <c r="K36" s="43" t="str">
        <f t="shared" si="0"/>
        <v/>
      </c>
      <c r="L36" s="48" t="str">
        <f>IF(B36&lt;&gt;0,IFERROR(UPPER(VLOOKUP(F36,Clientes!A:B,2,0)),"REGISTRAR CLIENTE"),"")</f>
        <v/>
      </c>
    </row>
    <row r="37" spans="1:12" s="43" customFormat="1" x14ac:dyDescent="0.2">
      <c r="A37" s="42"/>
      <c r="B37" s="42"/>
      <c r="C37" s="44"/>
      <c r="D37" s="42"/>
      <c r="E37" s="42"/>
      <c r="F37" s="42"/>
      <c r="G37" s="42"/>
      <c r="H37" s="42"/>
      <c r="I37" s="42"/>
      <c r="J37" s="42"/>
      <c r="K37" s="43" t="str">
        <f t="shared" si="0"/>
        <v/>
      </c>
      <c r="L37" s="48" t="str">
        <f>IF(B37&lt;&gt;0,IFERROR(UPPER(VLOOKUP(F37,Clientes!A:B,2,0)),"REGISTRAR CLIENTE"),"")</f>
        <v/>
      </c>
    </row>
    <row r="38" spans="1:12" s="43" customFormat="1" x14ac:dyDescent="0.2">
      <c r="A38" s="42"/>
      <c r="B38" s="42"/>
      <c r="C38" s="44"/>
      <c r="D38" s="42"/>
      <c r="E38" s="42"/>
      <c r="F38" s="42"/>
      <c r="G38" s="42"/>
      <c r="H38" s="42"/>
      <c r="I38" s="42"/>
      <c r="J38" s="42"/>
      <c r="K38" s="43" t="str">
        <f t="shared" si="0"/>
        <v/>
      </c>
      <c r="L38" s="48" t="str">
        <f>IF(B38&lt;&gt;0,IFERROR(UPPER(VLOOKUP(F38,Clientes!A:B,2,0)),"REGISTRAR CLIENTE"),"")</f>
        <v/>
      </c>
    </row>
    <row r="39" spans="1:12" s="43" customFormat="1" x14ac:dyDescent="0.2">
      <c r="A39" s="42"/>
      <c r="B39" s="42"/>
      <c r="C39" s="44"/>
      <c r="D39" s="42"/>
      <c r="E39" s="42"/>
      <c r="F39" s="42"/>
      <c r="G39" s="42"/>
      <c r="H39" s="42"/>
      <c r="I39" s="42"/>
      <c r="J39" s="42"/>
      <c r="K39" s="43" t="str">
        <f t="shared" si="0"/>
        <v/>
      </c>
      <c r="L39" s="48" t="str">
        <f>IF(B39&lt;&gt;0,IFERROR(UPPER(VLOOKUP(F39,Clientes!A:B,2,0)),"REGISTRAR CLIENTE"),"")</f>
        <v/>
      </c>
    </row>
    <row r="40" spans="1:12" s="43" customFormat="1" x14ac:dyDescent="0.2">
      <c r="A40" s="42"/>
      <c r="B40" s="42"/>
      <c r="C40" s="44"/>
      <c r="D40" s="42"/>
      <c r="E40" s="42"/>
      <c r="F40" s="42"/>
      <c r="G40" s="42"/>
      <c r="H40" s="42"/>
      <c r="I40" s="42"/>
      <c r="J40" s="42"/>
      <c r="K40" s="43" t="str">
        <f t="shared" si="0"/>
        <v/>
      </c>
      <c r="L40" s="48" t="str">
        <f>IF(B40&lt;&gt;0,IFERROR(UPPER(VLOOKUP(F40,Clientes!A:B,2,0)),"REGISTRAR CLIENTE"),"")</f>
        <v/>
      </c>
    </row>
    <row r="41" spans="1:12" s="43" customFormat="1" x14ac:dyDescent="0.2">
      <c r="A41" s="42"/>
      <c r="B41" s="42"/>
      <c r="C41" s="44"/>
      <c r="D41" s="42"/>
      <c r="E41" s="42"/>
      <c r="F41" s="42"/>
      <c r="G41" s="42"/>
      <c r="H41" s="42"/>
      <c r="I41" s="42"/>
      <c r="J41" s="42"/>
      <c r="K41" s="43" t="str">
        <f t="shared" si="0"/>
        <v/>
      </c>
      <c r="L41" s="48" t="str">
        <f>IF(B41&lt;&gt;0,IFERROR(UPPER(VLOOKUP(F41,Clientes!A:B,2,0)),"REGISTRAR CLIENTE"),"")</f>
        <v/>
      </c>
    </row>
    <row r="42" spans="1:12" s="43" customFormat="1" x14ac:dyDescent="0.2">
      <c r="A42" s="42"/>
      <c r="B42" s="42"/>
      <c r="C42" s="44"/>
      <c r="D42" s="42"/>
      <c r="E42" s="42"/>
      <c r="F42" s="42"/>
      <c r="G42" s="42"/>
      <c r="H42" s="42"/>
      <c r="I42" s="42"/>
      <c r="J42" s="42"/>
      <c r="K42" s="43" t="str">
        <f t="shared" si="0"/>
        <v/>
      </c>
      <c r="L42" s="48" t="str">
        <f>IF(B42&lt;&gt;0,IFERROR(UPPER(VLOOKUP(F42,Clientes!A:B,2,0)),"REGISTRAR CLIENTE"),"")</f>
        <v/>
      </c>
    </row>
    <row r="43" spans="1:12" s="43" customFormat="1" x14ac:dyDescent="0.2">
      <c r="A43" s="42"/>
      <c r="B43" s="42"/>
      <c r="C43" s="44"/>
      <c r="D43" s="42"/>
      <c r="E43" s="42"/>
      <c r="F43" s="42"/>
      <c r="G43" s="42"/>
      <c r="H43" s="42"/>
      <c r="I43" s="42"/>
      <c r="J43" s="42"/>
      <c r="K43" s="43" t="str">
        <f t="shared" si="0"/>
        <v/>
      </c>
      <c r="L43" s="48" t="str">
        <f>IF(B43&lt;&gt;0,IFERROR(UPPER(VLOOKUP(F43,Clientes!A:B,2,0)),"REGISTRAR CLIENTE"),"")</f>
        <v/>
      </c>
    </row>
    <row r="44" spans="1:12" s="43" customFormat="1" x14ac:dyDescent="0.2">
      <c r="A44" s="42"/>
      <c r="B44" s="42"/>
      <c r="C44" s="44"/>
      <c r="D44" s="42"/>
      <c r="E44" s="42"/>
      <c r="F44" s="42"/>
      <c r="G44" s="42"/>
      <c r="H44" s="42"/>
      <c r="I44" s="42"/>
      <c r="J44" s="42"/>
      <c r="K44" s="43" t="str">
        <f t="shared" si="0"/>
        <v/>
      </c>
      <c r="L44" s="48" t="str">
        <f>IF(B44&lt;&gt;0,IFERROR(UPPER(VLOOKUP(F44,Clientes!A:B,2,0)),"REGISTRAR CLIENTE"),"")</f>
        <v/>
      </c>
    </row>
    <row r="45" spans="1:12" s="43" customFormat="1" x14ac:dyDescent="0.2">
      <c r="A45" s="42"/>
      <c r="B45" s="42"/>
      <c r="C45" s="44"/>
      <c r="D45" s="42"/>
      <c r="E45" s="42"/>
      <c r="F45" s="42"/>
      <c r="G45" s="42"/>
      <c r="H45" s="42"/>
      <c r="I45" s="42"/>
      <c r="J45" s="42"/>
      <c r="K45" s="43" t="str">
        <f t="shared" si="0"/>
        <v/>
      </c>
      <c r="L45" s="48" t="str">
        <f>IF(B45&lt;&gt;0,IFERROR(UPPER(VLOOKUP(F45,Clientes!A:B,2,0)),"REGISTRAR CLIENTE"),"")</f>
        <v/>
      </c>
    </row>
    <row r="46" spans="1:12" s="43" customFormat="1" x14ac:dyDescent="0.2">
      <c r="A46" s="42"/>
      <c r="B46" s="42"/>
      <c r="C46" s="44"/>
      <c r="D46" s="42"/>
      <c r="E46" s="42"/>
      <c r="F46" s="42"/>
      <c r="G46" s="42"/>
      <c r="H46" s="42"/>
      <c r="I46" s="42"/>
      <c r="J46" s="42"/>
      <c r="K46" s="43" t="str">
        <f t="shared" si="0"/>
        <v/>
      </c>
      <c r="L46" s="48" t="str">
        <f>IF(B46&lt;&gt;0,IFERROR(UPPER(VLOOKUP(F46,Clientes!A:B,2,0)),"REGISTRAR CLIENTE"),"")</f>
        <v/>
      </c>
    </row>
    <row r="47" spans="1:12" s="43" customFormat="1" x14ac:dyDescent="0.2">
      <c r="A47" s="42"/>
      <c r="B47" s="42"/>
      <c r="C47" s="44"/>
      <c r="D47" s="42"/>
      <c r="E47" s="42"/>
      <c r="F47" s="42"/>
      <c r="G47" s="42"/>
      <c r="H47" s="42"/>
      <c r="I47" s="42"/>
      <c r="J47" s="42"/>
      <c r="K47" s="43" t="str">
        <f t="shared" si="0"/>
        <v/>
      </c>
      <c r="L47" s="48" t="str">
        <f>IF(B47&lt;&gt;0,IFERROR(UPPER(VLOOKUP(F47,Clientes!A:B,2,0)),"REGISTRAR CLIENTE"),"")</f>
        <v/>
      </c>
    </row>
    <row r="48" spans="1:12" s="43" customFormat="1" x14ac:dyDescent="0.2">
      <c r="A48" s="42"/>
      <c r="B48" s="42"/>
      <c r="C48" s="44"/>
      <c r="D48" s="42"/>
      <c r="E48" s="42"/>
      <c r="F48" s="42"/>
      <c r="G48" s="42"/>
      <c r="H48" s="42"/>
      <c r="I48" s="42"/>
      <c r="J48" s="42"/>
      <c r="K48" s="43" t="str">
        <f t="shared" si="0"/>
        <v/>
      </c>
      <c r="L48" s="48" t="str">
        <f>IF(B48&lt;&gt;0,IFERROR(UPPER(VLOOKUP(F48,Clientes!A:B,2,0)),"REGISTRAR CLIENTE"),"")</f>
        <v/>
      </c>
    </row>
    <row r="49" spans="1:12" s="43" customFormat="1" x14ac:dyDescent="0.2">
      <c r="A49" s="42"/>
      <c r="B49" s="42"/>
      <c r="C49" s="44"/>
      <c r="D49" s="42"/>
      <c r="E49" s="42"/>
      <c r="F49" s="42"/>
      <c r="G49" s="42"/>
      <c r="H49" s="42"/>
      <c r="I49" s="42"/>
      <c r="J49" s="42"/>
      <c r="K49" s="43" t="str">
        <f t="shared" si="0"/>
        <v/>
      </c>
      <c r="L49" s="48" t="str">
        <f>IF(B49&lt;&gt;0,IFERROR(UPPER(VLOOKUP(F49,Clientes!A:B,2,0)),"REGISTRAR CLIENTE"),"")</f>
        <v/>
      </c>
    </row>
    <row r="50" spans="1:12" s="43" customFormat="1" x14ac:dyDescent="0.2">
      <c r="A50" s="42"/>
      <c r="B50" s="42"/>
      <c r="C50" s="44"/>
      <c r="D50" s="42"/>
      <c r="E50" s="42"/>
      <c r="F50" s="42"/>
      <c r="G50" s="42"/>
      <c r="H50" s="42"/>
      <c r="I50" s="42"/>
      <c r="J50" s="42"/>
      <c r="K50" s="43" t="str">
        <f t="shared" si="0"/>
        <v/>
      </c>
      <c r="L50" s="48" t="str">
        <f>IF(B50&lt;&gt;0,IFERROR(UPPER(VLOOKUP(F50,Clientes!A:B,2,0)),"REGISTRAR CLIENTE"),"")</f>
        <v/>
      </c>
    </row>
    <row r="51" spans="1:12" s="43" customFormat="1" x14ac:dyDescent="0.2">
      <c r="A51" s="42"/>
      <c r="B51" s="42"/>
      <c r="C51" s="44"/>
      <c r="D51" s="42"/>
      <c r="E51" s="42"/>
      <c r="F51" s="42"/>
      <c r="G51" s="42"/>
      <c r="H51" s="42"/>
      <c r="I51" s="42"/>
      <c r="J51" s="42"/>
      <c r="K51" s="43" t="str">
        <f t="shared" si="0"/>
        <v/>
      </c>
      <c r="L51" s="48" t="str">
        <f>IF(B51&lt;&gt;0,IFERROR(UPPER(VLOOKUP(F51,Clientes!A:B,2,0)),"REGISTRAR CLIENTE"),"")</f>
        <v/>
      </c>
    </row>
    <row r="52" spans="1:12" s="43" customFormat="1" x14ac:dyDescent="0.2">
      <c r="A52" s="42"/>
      <c r="B52" s="42"/>
      <c r="C52" s="44"/>
      <c r="D52" s="42"/>
      <c r="E52" s="42"/>
      <c r="F52" s="42"/>
      <c r="G52" s="42"/>
      <c r="H52" s="42"/>
      <c r="I52" s="42"/>
      <c r="J52" s="42"/>
      <c r="K52" s="43" t="str">
        <f t="shared" si="0"/>
        <v/>
      </c>
      <c r="L52" s="48" t="str">
        <f>IF(B52&lt;&gt;0,IFERROR(UPPER(VLOOKUP(F52,Clientes!A:B,2,0)),"REGISTRAR CLIENTE"),"")</f>
        <v/>
      </c>
    </row>
    <row r="53" spans="1:12" s="43" customFormat="1" x14ac:dyDescent="0.2">
      <c r="A53" s="42"/>
      <c r="B53" s="42"/>
      <c r="C53" s="44"/>
      <c r="D53" s="42"/>
      <c r="E53" s="42"/>
      <c r="F53" s="42"/>
      <c r="G53" s="42"/>
      <c r="H53" s="42"/>
      <c r="I53" s="42"/>
      <c r="J53" s="42"/>
      <c r="K53" s="43" t="str">
        <f t="shared" si="0"/>
        <v/>
      </c>
      <c r="L53" s="48" t="str">
        <f>IF(B53&lt;&gt;0,IFERROR(UPPER(VLOOKUP(F53,Clientes!A:B,2,0)),"REGISTRAR CLIENTE"),"")</f>
        <v/>
      </c>
    </row>
    <row r="54" spans="1:12" s="43" customFormat="1" x14ac:dyDescent="0.2">
      <c r="A54" s="42"/>
      <c r="B54" s="42"/>
      <c r="C54" s="44"/>
      <c r="D54" s="42"/>
      <c r="E54" s="42"/>
      <c r="F54" s="42"/>
      <c r="G54" s="42"/>
      <c r="H54" s="42"/>
      <c r="I54" s="42"/>
      <c r="J54" s="42"/>
      <c r="K54" s="43" t="str">
        <f t="shared" si="0"/>
        <v/>
      </c>
      <c r="L54" s="48" t="str">
        <f>IF(B54&lt;&gt;0,IFERROR(UPPER(VLOOKUP(F54,Clientes!A:B,2,0)),"REGISTRAR CLIENTE"),"")</f>
        <v/>
      </c>
    </row>
    <row r="55" spans="1:12" s="43" customFormat="1" x14ac:dyDescent="0.2">
      <c r="A55" s="42"/>
      <c r="B55" s="42"/>
      <c r="C55" s="44"/>
      <c r="D55" s="42"/>
      <c r="E55" s="42"/>
      <c r="F55" s="42"/>
      <c r="G55" s="42"/>
      <c r="H55" s="42"/>
      <c r="I55" s="42"/>
      <c r="J55" s="42"/>
      <c r="K55" s="43" t="str">
        <f t="shared" si="0"/>
        <v/>
      </c>
      <c r="L55" s="48" t="str">
        <f>IF(B55&lt;&gt;0,IFERROR(UPPER(VLOOKUP(F55,Clientes!A:B,2,0)),"REGISTRAR CLIENTE"),"")</f>
        <v/>
      </c>
    </row>
    <row r="56" spans="1:12" s="43" customFormat="1" x14ac:dyDescent="0.2">
      <c r="A56" s="42"/>
      <c r="B56" s="42"/>
      <c r="C56" s="44"/>
      <c r="D56" s="42"/>
      <c r="E56" s="42"/>
      <c r="F56" s="42"/>
      <c r="G56" s="42"/>
      <c r="H56" s="42"/>
      <c r="I56" s="42"/>
      <c r="J56" s="42"/>
      <c r="K56" s="43" t="str">
        <f t="shared" si="0"/>
        <v/>
      </c>
      <c r="L56" s="48" t="str">
        <f>IF(B56&lt;&gt;0,IFERROR(UPPER(VLOOKUP(F56,Clientes!A:B,2,0)),"REGISTRAR CLIENTE"),"")</f>
        <v/>
      </c>
    </row>
    <row r="57" spans="1:12" s="43" customFormat="1" x14ac:dyDescent="0.2">
      <c r="A57" s="42"/>
      <c r="B57" s="42"/>
      <c r="C57" s="44"/>
      <c r="D57" s="42"/>
      <c r="E57" s="42"/>
      <c r="F57" s="42"/>
      <c r="G57" s="42"/>
      <c r="H57" s="42"/>
      <c r="I57" s="42"/>
      <c r="J57" s="42"/>
      <c r="K57" s="43" t="str">
        <f t="shared" si="0"/>
        <v/>
      </c>
      <c r="L57" s="48" t="str">
        <f>IF(B57&lt;&gt;0,IFERROR(UPPER(VLOOKUP(F57,Clientes!A:B,2,0)),"REGISTRAR CLIENTE"),"")</f>
        <v/>
      </c>
    </row>
    <row r="58" spans="1:12" s="43" customFormat="1" x14ac:dyDescent="0.2">
      <c r="A58" s="42"/>
      <c r="B58" s="42"/>
      <c r="C58" s="44"/>
      <c r="D58" s="42"/>
      <c r="E58" s="42"/>
      <c r="F58" s="42"/>
      <c r="G58" s="42"/>
      <c r="H58" s="42"/>
      <c r="I58" s="42"/>
      <c r="J58" s="42"/>
      <c r="K58" s="43" t="str">
        <f t="shared" si="0"/>
        <v/>
      </c>
      <c r="L58" s="48" t="str">
        <f>IF(B58&lt;&gt;0,IFERROR(UPPER(VLOOKUP(F58,Clientes!A:B,2,0)),"REGISTRAR CLIENTE"),"")</f>
        <v/>
      </c>
    </row>
    <row r="59" spans="1:12" s="43" customFormat="1" x14ac:dyDescent="0.2">
      <c r="A59" s="42"/>
      <c r="B59" s="42"/>
      <c r="C59" s="44"/>
      <c r="D59" s="42"/>
      <c r="E59" s="42"/>
      <c r="F59" s="42"/>
      <c r="G59" s="42"/>
      <c r="H59" s="42"/>
      <c r="I59" s="42"/>
      <c r="J59" s="42"/>
      <c r="K59" s="43" t="str">
        <f t="shared" si="0"/>
        <v/>
      </c>
      <c r="L59" s="48" t="str">
        <f>IF(B59&lt;&gt;0,IFERROR(UPPER(VLOOKUP(F59,Clientes!A:B,2,0)),"REGISTRAR CLIENTE"),"")</f>
        <v/>
      </c>
    </row>
    <row r="60" spans="1:12" s="43" customFormat="1" x14ac:dyDescent="0.2">
      <c r="A60" s="42"/>
      <c r="B60" s="42"/>
      <c r="C60" s="44"/>
      <c r="D60" s="42"/>
      <c r="E60" s="42"/>
      <c r="F60" s="42"/>
      <c r="G60" s="42"/>
      <c r="H60" s="42"/>
      <c r="I60" s="42"/>
      <c r="J60" s="42"/>
      <c r="K60" s="43" t="str">
        <f t="shared" si="0"/>
        <v/>
      </c>
      <c r="L60" s="48" t="str">
        <f>IF(B60&lt;&gt;0,IFERROR(UPPER(VLOOKUP(F60,Clientes!A:B,2,0)),"REGISTRAR CLIENTE"),"")</f>
        <v/>
      </c>
    </row>
    <row r="61" spans="1:12" s="43" customFormat="1" x14ac:dyDescent="0.2">
      <c r="A61" s="42"/>
      <c r="B61" s="42"/>
      <c r="C61" s="44"/>
      <c r="D61" s="42"/>
      <c r="E61" s="42"/>
      <c r="F61" s="42"/>
      <c r="G61" s="42"/>
      <c r="H61" s="42"/>
      <c r="I61" s="42"/>
      <c r="J61" s="42"/>
      <c r="K61" s="43" t="str">
        <f t="shared" si="0"/>
        <v/>
      </c>
      <c r="L61" s="48" t="str">
        <f>IF(B61&lt;&gt;0,IFERROR(UPPER(VLOOKUP(F61,Clientes!A:B,2,0)),"REGISTRAR CLIENTE"),"")</f>
        <v/>
      </c>
    </row>
    <row r="62" spans="1:12" s="43" customFormat="1" x14ac:dyDescent="0.2">
      <c r="A62" s="42"/>
      <c r="B62" s="42"/>
      <c r="C62" s="44"/>
      <c r="D62" s="42"/>
      <c r="E62" s="42"/>
      <c r="F62" s="42"/>
      <c r="G62" s="42"/>
      <c r="H62" s="42"/>
      <c r="I62" s="42"/>
      <c r="J62" s="42"/>
      <c r="K62" s="43" t="str">
        <f t="shared" si="0"/>
        <v/>
      </c>
      <c r="L62" s="48" t="str">
        <f>IF(B62&lt;&gt;0,IFERROR(UPPER(VLOOKUP(F62,Clientes!A:B,2,0)),"REGISTRAR CLIENTE"),"")</f>
        <v/>
      </c>
    </row>
    <row r="63" spans="1:12" s="43" customFormat="1" x14ac:dyDescent="0.2">
      <c r="A63" s="42"/>
      <c r="B63" s="42"/>
      <c r="C63" s="44"/>
      <c r="D63" s="42"/>
      <c r="E63" s="42"/>
      <c r="F63" s="42"/>
      <c r="G63" s="42"/>
      <c r="H63" s="42"/>
      <c r="I63" s="42"/>
      <c r="J63" s="42"/>
      <c r="K63" s="43" t="str">
        <f t="shared" si="0"/>
        <v/>
      </c>
      <c r="L63" s="48" t="str">
        <f>IF(B63&lt;&gt;0,IFERROR(UPPER(VLOOKUP(F63,Clientes!A:B,2,0)),"REGISTRAR CLIENTE"),"")</f>
        <v/>
      </c>
    </row>
    <row r="64" spans="1:12" s="43" customFormat="1" x14ac:dyDescent="0.2">
      <c r="A64" s="42"/>
      <c r="B64" s="42"/>
      <c r="C64" s="44"/>
      <c r="D64" s="42"/>
      <c r="E64" s="42"/>
      <c r="F64" s="42"/>
      <c r="G64" s="42"/>
      <c r="H64" s="42"/>
      <c r="I64" s="42"/>
      <c r="J64" s="42"/>
      <c r="K64" s="43" t="str">
        <f t="shared" si="0"/>
        <v/>
      </c>
      <c r="L64" s="48" t="str">
        <f>IF(B64&lt;&gt;0,IFERROR(UPPER(VLOOKUP(F64,Clientes!A:B,2,0)),"REGISTRAR CLIENTE"),"")</f>
        <v/>
      </c>
    </row>
    <row r="65" spans="1:12" s="43" customFormat="1" x14ac:dyDescent="0.2">
      <c r="A65" s="42"/>
      <c r="B65" s="42"/>
      <c r="C65" s="44"/>
      <c r="D65" s="42"/>
      <c r="E65" s="42"/>
      <c r="F65" s="42"/>
      <c r="G65" s="42"/>
      <c r="H65" s="42"/>
      <c r="I65" s="42"/>
      <c r="J65" s="42"/>
      <c r="K65" s="43" t="str">
        <f t="shared" si="0"/>
        <v/>
      </c>
      <c r="L65" s="48" t="str">
        <f>IF(B65&lt;&gt;0,IFERROR(UPPER(VLOOKUP(F65,Clientes!A:B,2,0)),"REGISTRAR CLIENTE"),"")</f>
        <v/>
      </c>
    </row>
    <row r="66" spans="1:12" s="43" customFormat="1" x14ac:dyDescent="0.2">
      <c r="A66" s="42"/>
      <c r="B66" s="42"/>
      <c r="C66" s="44"/>
      <c r="D66" s="42"/>
      <c r="E66" s="42"/>
      <c r="F66" s="42"/>
      <c r="G66" s="42"/>
      <c r="H66" s="42"/>
      <c r="I66" s="42"/>
      <c r="J66" s="42"/>
      <c r="K66" s="43" t="str">
        <f t="shared" si="0"/>
        <v/>
      </c>
      <c r="L66" s="48" t="str">
        <f>IF(B66&lt;&gt;0,IFERROR(UPPER(VLOOKUP(F66,Clientes!A:B,2,0)),"REGISTRAR CLIENTE"),"")</f>
        <v/>
      </c>
    </row>
    <row r="67" spans="1:12" s="43" customFormat="1" x14ac:dyDescent="0.2">
      <c r="A67" s="42"/>
      <c r="B67" s="42"/>
      <c r="C67" s="44"/>
      <c r="D67" s="42"/>
      <c r="E67" s="42"/>
      <c r="F67" s="42"/>
      <c r="G67" s="42"/>
      <c r="H67" s="42"/>
      <c r="I67" s="42"/>
      <c r="J67" s="42"/>
      <c r="K67" s="43" t="str">
        <f t="shared" si="0"/>
        <v/>
      </c>
      <c r="L67" s="48" t="str">
        <f>IF(B67&lt;&gt;0,IFERROR(UPPER(VLOOKUP(F67,Clientes!A:B,2,0)),"REGISTRAR CLIENTE"),"")</f>
        <v/>
      </c>
    </row>
    <row r="68" spans="1:12" s="43" customFormat="1" x14ac:dyDescent="0.2">
      <c r="A68" s="42"/>
      <c r="B68" s="42"/>
      <c r="C68" s="44"/>
      <c r="D68" s="42"/>
      <c r="E68" s="42"/>
      <c r="F68" s="42"/>
      <c r="G68" s="42"/>
      <c r="H68" s="42"/>
      <c r="I68" s="42"/>
      <c r="J68" s="42"/>
      <c r="K68" s="43" t="str">
        <f t="shared" si="0"/>
        <v/>
      </c>
      <c r="L68" s="48" t="str">
        <f>IF(B68&lt;&gt;0,IFERROR(UPPER(VLOOKUP(F68,Clientes!A:B,2,0)),"REGISTRAR CLIENTE"),"")</f>
        <v/>
      </c>
    </row>
    <row r="69" spans="1:12" s="43" customFormat="1" x14ac:dyDescent="0.2">
      <c r="A69" s="42"/>
      <c r="B69" s="42"/>
      <c r="C69" s="44"/>
      <c r="D69" s="42"/>
      <c r="E69" s="42"/>
      <c r="F69" s="42"/>
      <c r="G69" s="42"/>
      <c r="H69" s="42"/>
      <c r="I69" s="42"/>
      <c r="J69" s="42"/>
      <c r="K69" s="43" t="str">
        <f t="shared" si="0"/>
        <v/>
      </c>
      <c r="L69" s="48" t="str">
        <f>IF(B69&lt;&gt;0,IFERROR(UPPER(VLOOKUP(F69,Clientes!A:B,2,0)),"REGISTRAR CLIENTE"),"")</f>
        <v/>
      </c>
    </row>
    <row r="70" spans="1:12" s="43" customFormat="1" x14ac:dyDescent="0.2">
      <c r="A70" s="42"/>
      <c r="B70" s="42"/>
      <c r="C70" s="44"/>
      <c r="D70" s="42"/>
      <c r="E70" s="42"/>
      <c r="F70" s="42"/>
      <c r="G70" s="42"/>
      <c r="H70" s="42"/>
      <c r="I70" s="42"/>
      <c r="J70" s="42"/>
      <c r="K70" s="43" t="str">
        <f t="shared" si="0"/>
        <v/>
      </c>
      <c r="L70" s="48" t="str">
        <f>IF(B70&lt;&gt;0,IFERROR(UPPER(VLOOKUP(F70,Clientes!A:B,2,0)),"REGISTRAR CLIENTE"),"")</f>
        <v/>
      </c>
    </row>
    <row r="71" spans="1:12" s="43" customFormat="1" x14ac:dyDescent="0.2">
      <c r="A71" s="42"/>
      <c r="B71" s="42"/>
      <c r="C71" s="44"/>
      <c r="D71" s="42"/>
      <c r="E71" s="42"/>
      <c r="F71" s="42"/>
      <c r="G71" s="42"/>
      <c r="H71" s="42"/>
      <c r="I71" s="42"/>
      <c r="J71" s="42"/>
      <c r="K71" s="43" t="str">
        <f t="shared" ref="K71:K76" si="1">IF(B71&lt;&gt;0,IF(J71="Usados","RET",""),"")</f>
        <v/>
      </c>
      <c r="L71" s="48" t="str">
        <f>IF(B71&lt;&gt;0,IFERROR(UPPER(VLOOKUP(F71,Clientes!A:B,2,0)),"REGISTRAR CLIENTE"),"")</f>
        <v/>
      </c>
    </row>
    <row r="72" spans="1:12" s="43" customFormat="1" x14ac:dyDescent="0.2">
      <c r="A72" s="42"/>
      <c r="B72" s="42"/>
      <c r="C72" s="44"/>
      <c r="D72" s="42"/>
      <c r="E72" s="42"/>
      <c r="F72" s="42"/>
      <c r="G72" s="42"/>
      <c r="H72" s="42"/>
      <c r="I72" s="42"/>
      <c r="J72" s="42"/>
      <c r="K72" s="43" t="str">
        <f t="shared" si="1"/>
        <v/>
      </c>
      <c r="L72" s="48" t="str">
        <f>IF(B72&lt;&gt;0,IFERROR(UPPER(VLOOKUP(F72,Clientes!A:B,2,0)),"REGISTRAR CLIENTE"),"")</f>
        <v/>
      </c>
    </row>
    <row r="73" spans="1:12" s="43" customFormat="1" x14ac:dyDescent="0.2">
      <c r="A73" s="42"/>
      <c r="B73" s="42"/>
      <c r="C73" s="44"/>
      <c r="D73" s="42"/>
      <c r="E73" s="42"/>
      <c r="F73" s="42"/>
      <c r="G73" s="42"/>
      <c r="H73" s="42"/>
      <c r="I73" s="42"/>
      <c r="J73" s="42"/>
      <c r="K73" s="43" t="str">
        <f t="shared" si="1"/>
        <v/>
      </c>
      <c r="L73" s="48" t="str">
        <f>IF(B73&lt;&gt;0,IFERROR(UPPER(VLOOKUP(F73,Clientes!A:B,2,0)),"REGISTRAR CLIENTE"),"")</f>
        <v/>
      </c>
    </row>
    <row r="74" spans="1:12" s="43" customFormat="1" x14ac:dyDescent="0.2">
      <c r="A74" s="42"/>
      <c r="B74" s="42"/>
      <c r="C74" s="44"/>
      <c r="D74" s="42"/>
      <c r="E74" s="42"/>
      <c r="F74" s="42"/>
      <c r="G74" s="42"/>
      <c r="H74" s="42"/>
      <c r="I74" s="42"/>
      <c r="J74" s="42"/>
      <c r="K74" s="43" t="str">
        <f t="shared" si="1"/>
        <v/>
      </c>
      <c r="L74" s="48" t="str">
        <f>IF(B74&lt;&gt;0,IFERROR(UPPER(VLOOKUP(F74,Clientes!A:B,2,0)),"REGISTRAR CLIENTE"),"")</f>
        <v/>
      </c>
    </row>
    <row r="75" spans="1:12" s="43" customFormat="1" x14ac:dyDescent="0.2">
      <c r="A75" s="42"/>
      <c r="B75" s="42"/>
      <c r="C75" s="44"/>
      <c r="D75" s="42"/>
      <c r="E75" s="42"/>
      <c r="F75" s="42"/>
      <c r="G75" s="42"/>
      <c r="H75" s="42"/>
      <c r="I75" s="42"/>
      <c r="J75" s="42"/>
      <c r="K75" s="43" t="str">
        <f t="shared" si="1"/>
        <v/>
      </c>
      <c r="L75" s="48" t="str">
        <f>IF(B75&lt;&gt;0,IFERROR(UPPER(VLOOKUP(F75,Clientes!A:B,2,0)),"REGISTRAR CLIENTE"),"")</f>
        <v/>
      </c>
    </row>
    <row r="76" spans="1:12" s="43" customFormat="1" x14ac:dyDescent="0.2">
      <c r="A76" s="42"/>
      <c r="B76" s="42"/>
      <c r="C76" s="44"/>
      <c r="D76" s="42"/>
      <c r="E76" s="42"/>
      <c r="F76" s="42"/>
      <c r="G76" s="42"/>
      <c r="H76" s="42"/>
      <c r="I76" s="42"/>
      <c r="J76" s="42"/>
      <c r="K76" s="43" t="str">
        <f t="shared" si="1"/>
        <v/>
      </c>
      <c r="L76" s="48" t="str">
        <f>IF(B76&lt;&gt;0,IFERROR(UPPER(VLOOKUP(F76,Clientes!A:B,2,0)),"REGISTRAR CLIENTE"),"")</f>
        <v/>
      </c>
    </row>
    <row r="77" spans="1:12" s="43" customFormat="1" x14ac:dyDescent="0.2">
      <c r="A77" s="42"/>
      <c r="B77" s="42"/>
      <c r="C77" s="44"/>
      <c r="D77" s="42"/>
      <c r="E77" s="42"/>
      <c r="F77" s="42"/>
      <c r="G77" s="42"/>
      <c r="H77" s="42"/>
      <c r="I77" s="42"/>
      <c r="J77" s="42"/>
      <c r="K77" s="43" t="str">
        <f t="shared" ref="K77:K90" si="2">IF(B77&lt;&gt;0,IF(J77="Usados","RET",""),"")</f>
        <v/>
      </c>
      <c r="L77" s="48" t="str">
        <f>IF(B77&lt;&gt;0,IFERROR(UPPER(VLOOKUP(F77,Clientes!A:B,2,0)),"REGISTRAR CLIENTE"),"")</f>
        <v/>
      </c>
    </row>
    <row r="78" spans="1:12" x14ac:dyDescent="0.2">
      <c r="C78" s="44"/>
      <c r="K78" s="43" t="str">
        <f t="shared" si="2"/>
        <v/>
      </c>
      <c r="L78" s="48" t="str">
        <f>IF(B78&lt;&gt;0,IFERROR(UPPER(VLOOKUP(F78,Clientes!A:B,2,0)),"REGISTRAR CLIENTE"),"")</f>
        <v/>
      </c>
    </row>
    <row r="79" spans="1:12" x14ac:dyDescent="0.2">
      <c r="C79" s="44"/>
      <c r="K79" s="43" t="str">
        <f t="shared" si="2"/>
        <v/>
      </c>
      <c r="L79" s="48" t="str">
        <f>IF(B79&lt;&gt;0,IFERROR(UPPER(VLOOKUP(F79,Clientes!A:B,2,0)),"REGISTRAR CLIENTE"),"")</f>
        <v/>
      </c>
    </row>
    <row r="80" spans="1:12" x14ac:dyDescent="0.2">
      <c r="C80" s="44"/>
      <c r="K80" s="43" t="str">
        <f t="shared" si="2"/>
        <v/>
      </c>
      <c r="L80" s="48" t="str">
        <f>IF(B80&lt;&gt;0,IFERROR(UPPER(VLOOKUP(F80,Clientes!A:B,2,0)),"REGISTRAR CLIENTE"),"")</f>
        <v/>
      </c>
    </row>
    <row r="81" spans="3:12" x14ac:dyDescent="0.2">
      <c r="C81" s="44"/>
      <c r="K81" s="43" t="str">
        <f t="shared" si="2"/>
        <v/>
      </c>
      <c r="L81" s="48" t="str">
        <f>IF(B81&lt;&gt;0,IFERROR(UPPER(VLOOKUP(F81,Clientes!A:B,2,0)),"REGISTRAR CLIENTE"),"")</f>
        <v/>
      </c>
    </row>
    <row r="82" spans="3:12" x14ac:dyDescent="0.2">
      <c r="C82" s="44"/>
      <c r="K82" s="43" t="str">
        <f t="shared" si="2"/>
        <v/>
      </c>
      <c r="L82" s="48" t="str">
        <f>IF(B82&lt;&gt;0,IFERROR(UPPER(VLOOKUP(F82,Clientes!A:B,2,0)),"REGISTRAR CLIENTE"),"")</f>
        <v/>
      </c>
    </row>
    <row r="83" spans="3:12" x14ac:dyDescent="0.2">
      <c r="C83" s="44"/>
      <c r="K83" s="43" t="str">
        <f t="shared" si="2"/>
        <v/>
      </c>
      <c r="L83" s="48" t="str">
        <f>IF(B83&lt;&gt;0,IFERROR(UPPER(VLOOKUP(F83,Clientes!A:B,2,0)),"REGISTRAR CLIENTE"),"")</f>
        <v/>
      </c>
    </row>
    <row r="84" spans="3:12" x14ac:dyDescent="0.2">
      <c r="C84" s="44"/>
      <c r="K84" s="43" t="str">
        <f t="shared" si="2"/>
        <v/>
      </c>
      <c r="L84" s="48" t="str">
        <f>IF(B84&lt;&gt;0,IFERROR(UPPER(VLOOKUP(F84,Clientes!A:B,2,0)),"REGISTRAR CLIENTE"),"")</f>
        <v/>
      </c>
    </row>
    <row r="85" spans="3:12" x14ac:dyDescent="0.2">
      <c r="C85" s="44"/>
      <c r="K85" s="43" t="str">
        <f t="shared" si="2"/>
        <v/>
      </c>
      <c r="L85" s="48" t="str">
        <f>IF(B85&lt;&gt;0,IFERROR(UPPER(VLOOKUP(F85,Clientes!A:B,2,0)),"REGISTRAR CLIENTE"),"")</f>
        <v/>
      </c>
    </row>
    <row r="86" spans="3:12" x14ac:dyDescent="0.2">
      <c r="C86" s="44"/>
      <c r="K86" s="43" t="str">
        <f t="shared" si="2"/>
        <v/>
      </c>
      <c r="L86" s="48" t="str">
        <f>IF(B86&lt;&gt;0,IFERROR(UPPER(VLOOKUP(F86,Clientes!A:B,2,0)),"REGISTRAR CLIENTE"),"")</f>
        <v/>
      </c>
    </row>
    <row r="87" spans="3:12" x14ac:dyDescent="0.2">
      <c r="C87" s="44"/>
      <c r="K87" s="43" t="str">
        <f t="shared" si="2"/>
        <v/>
      </c>
      <c r="L87" s="48" t="str">
        <f>IF(B87&lt;&gt;0,IFERROR(UPPER(VLOOKUP(F87,Clientes!A:B,2,0)),"REGISTRAR CLIENTE"),"")</f>
        <v/>
      </c>
    </row>
    <row r="88" spans="3:12" x14ac:dyDescent="0.2">
      <c r="C88" s="44"/>
      <c r="K88" s="43" t="str">
        <f t="shared" si="2"/>
        <v/>
      </c>
      <c r="L88" s="48" t="str">
        <f>IF(B88&lt;&gt;0,IFERROR(UPPER(VLOOKUP(F88,Clientes!A:B,2,0)),"REGISTRAR CLIENTE"),"")</f>
        <v/>
      </c>
    </row>
    <row r="89" spans="3:12" x14ac:dyDescent="0.2">
      <c r="C89" s="44"/>
      <c r="K89" s="43" t="str">
        <f t="shared" si="2"/>
        <v/>
      </c>
      <c r="L89" s="48" t="str">
        <f>IF(B89&lt;&gt;0,IFERROR(UPPER(VLOOKUP(F89,Clientes!A:B,2,0)),"REGISTRAR CLIENTE"),"")</f>
        <v/>
      </c>
    </row>
    <row r="90" spans="3:12" x14ac:dyDescent="0.2">
      <c r="C90" s="44"/>
      <c r="K90" s="43" t="str">
        <f t="shared" si="2"/>
        <v/>
      </c>
      <c r="L90" s="48" t="str">
        <f>IF(B90&lt;&gt;0,IFERROR(UPPER(VLOOKUP(F90,Clientes!A:B,2,0)),"REGISTRAR CLIENTE"),"")</f>
        <v/>
      </c>
    </row>
    <row r="91" spans="3:12" x14ac:dyDescent="0.2">
      <c r="K91" s="42"/>
      <c r="L91" s="48" t="str">
        <f>IF(B91&lt;&gt;0,IFERROR(UPPER(VLOOKUP(F91,Clientes!A:B,2,0)),"REGISTRAR CLIENTE"),"")</f>
        <v/>
      </c>
    </row>
    <row r="92" spans="3:12" x14ac:dyDescent="0.2">
      <c r="K92" s="42"/>
      <c r="L92" s="48" t="str">
        <f>IF(B92&lt;&gt;0,IFERROR(UPPER(VLOOKUP(F92,Clientes!A:B,2,0)),"REGISTRAR CLIENTE"),"")</f>
        <v/>
      </c>
    </row>
    <row r="93" spans="3:12" x14ac:dyDescent="0.2">
      <c r="K93" s="42"/>
      <c r="L93" s="48" t="str">
        <f>IF(B93&lt;&gt;0,IFERROR(UPPER(VLOOKUP(F93,Clientes!A:B,2,0)),"REGISTRAR CLIENTE"),"")</f>
        <v/>
      </c>
    </row>
    <row r="94" spans="3:12" x14ac:dyDescent="0.2">
      <c r="K94" s="42"/>
      <c r="L94" s="48" t="str">
        <f>IF(B94&lt;&gt;0,IFERROR(UPPER(VLOOKUP(F94,Clientes!A:B,2,0)),"REGISTRAR CLIENTE"),"")</f>
        <v/>
      </c>
    </row>
    <row r="95" spans="3:12" x14ac:dyDescent="0.2">
      <c r="K95" s="42"/>
      <c r="L95" s="48" t="str">
        <f>IF(B95&lt;&gt;0,IFERROR(UPPER(VLOOKUP(F95,Clientes!A:B,2,0)),"REGISTRAR CLIENTE"),"")</f>
        <v/>
      </c>
    </row>
    <row r="96" spans="3:12" x14ac:dyDescent="0.2">
      <c r="K96" s="42"/>
      <c r="L96" s="48" t="str">
        <f>IF(B96&lt;&gt;0,IFERROR(UPPER(VLOOKUP(F96,Clientes!A:B,2,0)),"REGISTRAR CLIENTE"),"")</f>
        <v/>
      </c>
    </row>
    <row r="97" spans="11:12" x14ac:dyDescent="0.2">
      <c r="K97" s="42"/>
      <c r="L97" s="48" t="str">
        <f>IF(B97&lt;&gt;0,IFERROR(UPPER(VLOOKUP(F97,Clientes!A:B,2,0)),"REGISTRAR CLIENTE"),"")</f>
        <v/>
      </c>
    </row>
    <row r="98" spans="11:12" x14ac:dyDescent="0.2">
      <c r="K98" s="42"/>
      <c r="L98" s="48" t="str">
        <f>IF(B98&lt;&gt;0,IFERROR(UPPER(VLOOKUP(F98,Clientes!A:B,2,0)),"REGISTRAR CLIENTE"),"")</f>
        <v/>
      </c>
    </row>
    <row r="99" spans="11:12" x14ac:dyDescent="0.2">
      <c r="K99" s="42"/>
      <c r="L99" s="48" t="str">
        <f>IF(B99&lt;&gt;0,IFERROR(UPPER(VLOOKUP(F99,Clientes!A:B,2,0)),"REGISTRAR CLIENTE"),"")</f>
        <v/>
      </c>
    </row>
    <row r="100" spans="11:12" x14ac:dyDescent="0.2">
      <c r="K100" s="42"/>
      <c r="L100" s="48" t="str">
        <f>IF(B100&lt;&gt;0,IFERROR(UPPER(VLOOKUP(F100,Clientes!A:B,2,0)),"REGISTRAR CLIENTE"),"")</f>
        <v/>
      </c>
    </row>
    <row r="101" spans="11:12" x14ac:dyDescent="0.2">
      <c r="K101" s="42"/>
      <c r="L101" s="48" t="str">
        <f>IF(B101&lt;&gt;0,IFERROR(UPPER(VLOOKUP(F101,Clientes!A:B,2,0)),"REGISTRAR CLIENTE"),"")</f>
        <v/>
      </c>
    </row>
    <row r="102" spans="11:12" x14ac:dyDescent="0.2">
      <c r="K102" s="42"/>
      <c r="L102" s="48" t="str">
        <f>IF(B102&lt;&gt;0,IFERROR(UPPER(VLOOKUP(F102,Clientes!A:B,2,0)),"REGISTRAR CLIENTE"),"")</f>
        <v/>
      </c>
    </row>
    <row r="103" spans="11:12" x14ac:dyDescent="0.2">
      <c r="K103" s="42"/>
      <c r="L103" s="48" t="str">
        <f>IF(B103&lt;&gt;0,IFERROR(UPPER(VLOOKUP(F103,Clientes!A:B,2,0)),"REGISTRAR CLIENTE"),"")</f>
        <v/>
      </c>
    </row>
    <row r="104" spans="11:12" x14ac:dyDescent="0.2">
      <c r="K104" s="42"/>
      <c r="L104" s="48" t="str">
        <f>IF(B104&lt;&gt;0,IFERROR(UPPER(VLOOKUP(F104,Clientes!A:B,2,0)),"REGISTRAR CLIENTE"),"")</f>
        <v/>
      </c>
    </row>
    <row r="105" spans="11:12" x14ac:dyDescent="0.2">
      <c r="K105" s="42"/>
      <c r="L105" s="48" t="str">
        <f>IF(B105&lt;&gt;0,IFERROR(UPPER(VLOOKUP(F105,Clientes!A:B,2,0)),"REGISTRAR CLIENTE"),"")</f>
        <v/>
      </c>
    </row>
    <row r="106" spans="11:12" x14ac:dyDescent="0.2">
      <c r="K106" s="42"/>
      <c r="L106" s="48" t="str">
        <f>IF(B106&lt;&gt;0,IFERROR(UPPER(VLOOKUP(F106,Clientes!A:B,2,0)),"REGISTRAR CLIENTE"),"")</f>
        <v/>
      </c>
    </row>
    <row r="107" spans="11:12" x14ac:dyDescent="0.2">
      <c r="K107" s="42"/>
      <c r="L107" s="48" t="str">
        <f>IF(B107&lt;&gt;0,IFERROR(UPPER(VLOOKUP(F107,Clientes!A:B,2,0)),"REGISTRAR CLIENTE"),"")</f>
        <v/>
      </c>
    </row>
    <row r="108" spans="11:12" x14ac:dyDescent="0.2">
      <c r="K108" s="42"/>
      <c r="L108" s="48" t="str">
        <f>IF(B108&lt;&gt;0,IFERROR(UPPER(VLOOKUP(F108,Clientes!A:B,2,0)),"REGISTRAR CLIENTE"),"")</f>
        <v/>
      </c>
    </row>
    <row r="109" spans="11:12" x14ac:dyDescent="0.2">
      <c r="K109" s="42"/>
      <c r="L109" s="48" t="str">
        <f>IF(B109&lt;&gt;0,IFERROR(UPPER(VLOOKUP(F109,Clientes!A:B,2,0)),"REGISTRAR CLIENTE"),"")</f>
        <v/>
      </c>
    </row>
    <row r="110" spans="11:12" x14ac:dyDescent="0.2">
      <c r="K110" s="42"/>
      <c r="L110" s="48" t="str">
        <f>IF(B110&lt;&gt;0,IFERROR(UPPER(VLOOKUP(F110,Clientes!A:B,2,0)),"REGISTRAR CLIENTE"),"")</f>
        <v/>
      </c>
    </row>
    <row r="111" spans="11:12" x14ac:dyDescent="0.2">
      <c r="K111" s="42"/>
      <c r="L111" s="48" t="str">
        <f>IF(B111&lt;&gt;0,IFERROR(UPPER(VLOOKUP(F111,Clientes!A:B,2,0)),"REGISTRAR CLIENTE"),"")</f>
        <v/>
      </c>
    </row>
    <row r="112" spans="11:12" x14ac:dyDescent="0.2">
      <c r="K112" s="42"/>
      <c r="L112" s="48" t="str">
        <f>IF(B112&lt;&gt;0,IFERROR(UPPER(VLOOKUP(F112,Clientes!A:B,2,0)),"REGISTRAR CLIENTE"),"")</f>
        <v/>
      </c>
    </row>
    <row r="113" spans="11:12" x14ac:dyDescent="0.2">
      <c r="K113" s="42"/>
      <c r="L113" s="48" t="str">
        <f>IF(B113&lt;&gt;0,IFERROR(UPPER(VLOOKUP(F113,Clientes!A:B,2,0)),"REGISTRAR CLIENTE"),"")</f>
        <v/>
      </c>
    </row>
    <row r="114" spans="11:12" x14ac:dyDescent="0.2">
      <c r="K114" s="42"/>
      <c r="L114" s="48" t="str">
        <f>IF(B114&lt;&gt;0,IFERROR(UPPER(VLOOKUP(F114,Clientes!A:B,2,0)),"REGISTRAR CLIENTE"),"")</f>
        <v/>
      </c>
    </row>
    <row r="115" spans="11:12" x14ac:dyDescent="0.2">
      <c r="K115" s="42"/>
      <c r="L115" s="48" t="str">
        <f>IF(B115&lt;&gt;0,IFERROR(UPPER(VLOOKUP(F115,Clientes!A:B,2,0)),"REGISTRAR CLIENTE"),"")</f>
        <v/>
      </c>
    </row>
    <row r="116" spans="11:12" x14ac:dyDescent="0.2">
      <c r="K116" s="42"/>
      <c r="L116" s="48" t="str">
        <f>IF(B116&lt;&gt;0,IFERROR(UPPER(VLOOKUP(F116,Clientes!A:B,2,0)),"REGISTRAR CLIENTE"),"")</f>
        <v/>
      </c>
    </row>
    <row r="117" spans="11:12" x14ac:dyDescent="0.2">
      <c r="K117" s="42"/>
      <c r="L117" s="48" t="str">
        <f>IF(B117&lt;&gt;0,IFERROR(UPPER(VLOOKUP(F117,Clientes!A:B,2,0)),"REGISTRAR CLIENTE"),"")</f>
        <v/>
      </c>
    </row>
    <row r="118" spans="11:12" x14ac:dyDescent="0.2">
      <c r="K118" s="42"/>
      <c r="L118" s="48" t="str">
        <f>IF(B118&lt;&gt;0,IFERROR(UPPER(VLOOKUP(F118,Clientes!A:B,2,0)),"REGISTRAR CLIENTE"),"")</f>
        <v/>
      </c>
    </row>
    <row r="119" spans="11:12" x14ac:dyDescent="0.2">
      <c r="K119" s="42"/>
      <c r="L119" s="48" t="str">
        <f>IF(B119&lt;&gt;0,IFERROR(UPPER(VLOOKUP(F119,Clientes!A:B,2,0)),"REGISTRAR CLIENTE"),"")</f>
        <v/>
      </c>
    </row>
    <row r="120" spans="11:12" x14ac:dyDescent="0.2">
      <c r="K120" s="42"/>
      <c r="L120" s="48" t="str">
        <f>IF(B120&lt;&gt;0,IFERROR(UPPER(VLOOKUP(F120,Clientes!A:B,2,0)),"REGISTRAR CLIENTE"),"")</f>
        <v/>
      </c>
    </row>
    <row r="121" spans="11:12" x14ac:dyDescent="0.2">
      <c r="K121" s="42"/>
      <c r="L121" s="48" t="str">
        <f>IF(B121&lt;&gt;0,IFERROR(UPPER(VLOOKUP(F121,Clientes!A:B,2,0)),"REGISTRAR CLIENTE"),"")</f>
        <v/>
      </c>
    </row>
    <row r="122" spans="11:12" x14ac:dyDescent="0.2">
      <c r="K122" s="42"/>
      <c r="L122" s="48" t="str">
        <f>IF(B122&lt;&gt;0,IFERROR(UPPER(VLOOKUP(F122,Clientes!A:B,2,0)),"REGISTRAR CLIENTE"),"")</f>
        <v/>
      </c>
    </row>
    <row r="123" spans="11:12" x14ac:dyDescent="0.2">
      <c r="K123" s="42"/>
      <c r="L123" s="48" t="str">
        <f>IF(B123&lt;&gt;0,IFERROR(UPPER(VLOOKUP(F123,Clientes!A:B,2,0)),"REGISTRAR CLIENTE"),"")</f>
        <v/>
      </c>
    </row>
    <row r="124" spans="11:12" x14ac:dyDescent="0.2">
      <c r="K124" s="42"/>
      <c r="L124" s="48" t="str">
        <f>IF(B124&lt;&gt;0,IFERROR(UPPER(VLOOKUP(F124,Clientes!A:B,2,0)),"REGISTRAR CLIENTE"),"")</f>
        <v/>
      </c>
    </row>
    <row r="125" spans="11:12" x14ac:dyDescent="0.2">
      <c r="K125" s="42"/>
      <c r="L125" s="48" t="str">
        <f>IF(B125&lt;&gt;0,IFERROR(UPPER(VLOOKUP(F125,Clientes!A:B,2,0)),"REGISTRAR CLIENTE"),"")</f>
        <v/>
      </c>
    </row>
    <row r="126" spans="11:12" x14ac:dyDescent="0.2">
      <c r="K126" s="42"/>
      <c r="L126" s="48" t="str">
        <f>IF(B126&lt;&gt;0,IFERROR(UPPER(VLOOKUP(F126,Clientes!A:B,2,0)),"REGISTRAR CLIENTE"),"")</f>
        <v/>
      </c>
    </row>
    <row r="127" spans="11:12" x14ac:dyDescent="0.2">
      <c r="K127" s="42"/>
      <c r="L127" s="48" t="str">
        <f>IF(B127&lt;&gt;0,IFERROR(UPPER(VLOOKUP(F127,Clientes!A:B,2,0)),"REGISTRAR CLIENTE"),"")</f>
        <v/>
      </c>
    </row>
    <row r="128" spans="11:12" x14ac:dyDescent="0.2">
      <c r="K128" s="42"/>
      <c r="L128" s="48" t="str">
        <f>IF(B128&lt;&gt;0,IFERROR(UPPER(VLOOKUP(F128,Clientes!A:B,2,0)),"REGISTRAR CLIENTE"),"")</f>
        <v/>
      </c>
    </row>
    <row r="129" spans="11:12" x14ac:dyDescent="0.2">
      <c r="K129" s="42"/>
      <c r="L129" s="48" t="str">
        <f>IF(B129&lt;&gt;0,IFERROR(UPPER(VLOOKUP(F129,Clientes!A:B,2,0)),"REGISTRAR CLIENTE"),"")</f>
        <v/>
      </c>
    </row>
    <row r="130" spans="11:12" x14ac:dyDescent="0.2">
      <c r="K130" s="42"/>
      <c r="L130" s="48" t="str">
        <f>IF(B130&lt;&gt;0,IFERROR(UPPER(VLOOKUP(F130,Clientes!A:B,2,0)),"REGISTRAR CLIENTE"),"")</f>
        <v/>
      </c>
    </row>
    <row r="131" spans="11:12" x14ac:dyDescent="0.2">
      <c r="K131" s="42"/>
      <c r="L131" s="48" t="str">
        <f>IF(B131&lt;&gt;0,IFERROR(UPPER(VLOOKUP(F131,Clientes!A:B,2,0)),"REGISTRAR CLIENTE"),"")</f>
        <v/>
      </c>
    </row>
    <row r="132" spans="11:12" x14ac:dyDescent="0.2">
      <c r="K132" s="42"/>
      <c r="L132" s="48" t="str">
        <f>IF(B132&lt;&gt;0,IFERROR(UPPER(VLOOKUP(F132,Clientes!A:B,2,0)),"REGISTRAR CLIENTE"),"")</f>
        <v/>
      </c>
    </row>
    <row r="133" spans="11:12" x14ac:dyDescent="0.2">
      <c r="K133" s="42"/>
      <c r="L133" s="48" t="str">
        <f>IF(B133&lt;&gt;0,IFERROR(UPPER(VLOOKUP(F133,Clientes!A:B,2,0)),"REGISTRAR CLIENTE"),"")</f>
        <v/>
      </c>
    </row>
    <row r="134" spans="11:12" x14ac:dyDescent="0.2">
      <c r="K134" s="42"/>
      <c r="L134" s="48" t="str">
        <f>IF(B134&lt;&gt;0,IFERROR(UPPER(VLOOKUP(F134,Clientes!A:B,2,0)),"REGISTRAR CLIENTE"),"")</f>
        <v/>
      </c>
    </row>
    <row r="135" spans="11:12" x14ac:dyDescent="0.2">
      <c r="K135" s="42"/>
      <c r="L135" s="48" t="str">
        <f>IF(B135&lt;&gt;0,IFERROR(UPPER(VLOOKUP(F135,Clientes!A:B,2,0)),"REGISTRAR CLIENTE"),"")</f>
        <v/>
      </c>
    </row>
    <row r="136" spans="11:12" x14ac:dyDescent="0.2">
      <c r="K136" s="42"/>
      <c r="L136" s="48" t="str">
        <f>IF(B136&lt;&gt;0,IFERROR(UPPER(VLOOKUP(F136,Clientes!A:B,2,0)),"REGISTRAR CLIENTE"),"")</f>
        <v/>
      </c>
    </row>
    <row r="137" spans="11:12" x14ac:dyDescent="0.2">
      <c r="K137" s="42"/>
      <c r="L137" s="48" t="str">
        <f>IF(B137&lt;&gt;0,IFERROR(UPPER(VLOOKUP(F137,Clientes!A:B,2,0)),"REGISTRAR CLIENTE"),"")</f>
        <v/>
      </c>
    </row>
    <row r="138" spans="11:12" x14ac:dyDescent="0.2">
      <c r="K138" s="42"/>
      <c r="L138" s="48" t="str">
        <f>IF(B138&lt;&gt;0,IFERROR(UPPER(VLOOKUP(F138,Clientes!A:B,2,0)),"REGISTRAR CLIENTE"),"")</f>
        <v/>
      </c>
    </row>
    <row r="139" spans="11:12" x14ac:dyDescent="0.2">
      <c r="K139" s="42"/>
      <c r="L139" s="48" t="str">
        <f>IF(B139&lt;&gt;0,IFERROR(UPPER(VLOOKUP(F139,Clientes!A:B,2,0)),"REGISTRAR CLIENTE"),"")</f>
        <v/>
      </c>
    </row>
    <row r="140" spans="11:12" x14ac:dyDescent="0.2">
      <c r="K140" s="42"/>
      <c r="L140" s="48" t="str">
        <f>IF(B140&lt;&gt;0,IFERROR(UPPER(VLOOKUP(F140,Clientes!A:B,2,0)),"REGISTRAR CLIENTE"),"")</f>
        <v/>
      </c>
    </row>
    <row r="141" spans="11:12" x14ac:dyDescent="0.2">
      <c r="K141" s="42"/>
      <c r="L141" s="48" t="str">
        <f>IF(B141&lt;&gt;0,IFERROR(UPPER(VLOOKUP(F141,Clientes!A:B,2,0)),"REGISTRAR CLIENTE"),"")</f>
        <v/>
      </c>
    </row>
    <row r="142" spans="11:12" x14ac:dyDescent="0.2">
      <c r="K142" s="42"/>
      <c r="L142" s="48" t="str">
        <f>IF(B142&lt;&gt;0,IFERROR(UPPER(VLOOKUP(F142,Clientes!A:B,2,0)),"REGISTRAR CLIENTE"),"")</f>
        <v/>
      </c>
    </row>
    <row r="143" spans="11:12" x14ac:dyDescent="0.2">
      <c r="K143" s="42"/>
      <c r="L143" s="48" t="str">
        <f>IF(B143&lt;&gt;0,IFERROR(UPPER(VLOOKUP(F143,Clientes!A:B,2,0)),"REGISTRAR CLIENTE"),"")</f>
        <v/>
      </c>
    </row>
    <row r="144" spans="11:12" x14ac:dyDescent="0.2">
      <c r="K144" s="42"/>
      <c r="L144" s="48" t="str">
        <f>IF(B144&lt;&gt;0,IFERROR(UPPER(VLOOKUP(F144,Clientes!A:B,2,0)),"REGISTRAR CLIENTE"),"")</f>
        <v/>
      </c>
    </row>
    <row r="145" spans="11:12" x14ac:dyDescent="0.2">
      <c r="K145" s="42"/>
      <c r="L145" s="48" t="str">
        <f>IF(B145&lt;&gt;0,IFERROR(UPPER(VLOOKUP(F145,Clientes!A:B,2,0)),"REGISTRAR CLIENTE"),"")</f>
        <v/>
      </c>
    </row>
    <row r="146" spans="11:12" x14ac:dyDescent="0.2">
      <c r="K146" s="42"/>
      <c r="L146" s="48" t="str">
        <f>IF(B146&lt;&gt;0,IFERROR(UPPER(VLOOKUP(F146,Clientes!A:B,2,0)),"REGISTRAR CLIENTE"),"")</f>
        <v/>
      </c>
    </row>
    <row r="147" spans="11:12" x14ac:dyDescent="0.2">
      <c r="K147" s="42"/>
      <c r="L147" s="48" t="str">
        <f>IF(B147&lt;&gt;0,IFERROR(UPPER(VLOOKUP(F147,Clientes!A:B,2,0)),"REGISTRAR CLIENTE"),"")</f>
        <v/>
      </c>
    </row>
    <row r="148" spans="11:12" x14ac:dyDescent="0.2">
      <c r="K148" s="42"/>
      <c r="L148" s="48" t="str">
        <f>IF(B148&lt;&gt;0,IFERROR(UPPER(VLOOKUP(F148,Clientes!A:B,2,0)),"REGISTRAR CLIENTE"),"")</f>
        <v/>
      </c>
    </row>
    <row r="149" spans="11:12" x14ac:dyDescent="0.2">
      <c r="K149" s="42"/>
      <c r="L149" s="48" t="str">
        <f>IF(B149&lt;&gt;0,IFERROR(UPPER(VLOOKUP(F149,Clientes!A:B,2,0)),"REGISTRAR CLIENTE"),"")</f>
        <v/>
      </c>
    </row>
    <row r="150" spans="11:12" x14ac:dyDescent="0.2">
      <c r="K150" s="42"/>
      <c r="L150" s="48" t="str">
        <f>IF(B150&lt;&gt;0,IFERROR(UPPER(VLOOKUP(F150,Clientes!A:B,2,0)),"REGISTRAR CLIENTE"),"")</f>
        <v/>
      </c>
    </row>
    <row r="151" spans="11:12" x14ac:dyDescent="0.2">
      <c r="K151" s="42"/>
      <c r="L151" s="48" t="str">
        <f>IF(B151&lt;&gt;0,IFERROR(UPPER(VLOOKUP(F151,Clientes!A:B,2,0)),"REGISTRAR CLIENTE"),"")</f>
        <v/>
      </c>
    </row>
    <row r="152" spans="11:12" x14ac:dyDescent="0.2">
      <c r="K152" s="42"/>
      <c r="L152" s="48" t="str">
        <f>IF(B152&lt;&gt;0,IFERROR(UPPER(VLOOKUP(F152,Clientes!A:B,2,0)),"REGISTRAR CLIENTE"),"")</f>
        <v/>
      </c>
    </row>
    <row r="153" spans="11:12" x14ac:dyDescent="0.2">
      <c r="K153" s="42"/>
      <c r="L153" s="48" t="str">
        <f>IF(B153&lt;&gt;0,IFERROR(UPPER(VLOOKUP(F153,Clientes!A:B,2,0)),"REGISTRAR CLIENTE"),"")</f>
        <v/>
      </c>
    </row>
    <row r="154" spans="11:12" x14ac:dyDescent="0.2">
      <c r="K154" s="42"/>
      <c r="L154" s="48" t="str">
        <f>IF(B154&lt;&gt;0,IFERROR(UPPER(VLOOKUP(F154,Clientes!A:B,2,0)),"REGISTRAR CLIENTE"),"")</f>
        <v/>
      </c>
    </row>
    <row r="155" spans="11:12" x14ac:dyDescent="0.2">
      <c r="K155" s="42"/>
      <c r="L155" s="48" t="str">
        <f>IF(B155&lt;&gt;0,IFERROR(UPPER(VLOOKUP(F155,Clientes!A:B,2,0)),"REGISTRAR CLIENTE"),"")</f>
        <v/>
      </c>
    </row>
    <row r="156" spans="11:12" x14ac:dyDescent="0.2">
      <c r="K156" s="42"/>
      <c r="L156" s="48" t="str">
        <f>IF(B156&lt;&gt;0,IFERROR(UPPER(VLOOKUP(F156,Clientes!A:B,2,0)),"REGISTRAR CLIENTE"),"")</f>
        <v/>
      </c>
    </row>
    <row r="157" spans="11:12" x14ac:dyDescent="0.2">
      <c r="K157" s="42"/>
      <c r="L157" s="48" t="str">
        <f>IF(B157&lt;&gt;0,IFERROR(UPPER(VLOOKUP(F157,Clientes!A:B,2,0)),"REGISTRAR CLIENTE"),"")</f>
        <v/>
      </c>
    </row>
    <row r="158" spans="11:12" x14ac:dyDescent="0.2">
      <c r="K158" s="42"/>
      <c r="L158" s="48" t="str">
        <f>IF(B158&lt;&gt;0,IFERROR(UPPER(VLOOKUP(F158,Clientes!A:B,2,0)),"REGISTRAR CLIENTE"),"")</f>
        <v/>
      </c>
    </row>
    <row r="159" spans="11:12" x14ac:dyDescent="0.2">
      <c r="K159" s="42"/>
      <c r="L159" s="48" t="str">
        <f>IF(B159&lt;&gt;0,IFERROR(UPPER(VLOOKUP(F159,Clientes!A:B,2,0)),"REGISTRAR CLIENTE"),"")</f>
        <v/>
      </c>
    </row>
    <row r="160" spans="11:12" x14ac:dyDescent="0.2">
      <c r="K160" s="42"/>
      <c r="L160" s="48" t="str">
        <f>IF(B160&lt;&gt;0,IFERROR(UPPER(VLOOKUP(F160,Clientes!A:B,2,0)),"REGISTRAR CLIENTE"),"")</f>
        <v/>
      </c>
    </row>
    <row r="161" spans="11:12" x14ac:dyDescent="0.2">
      <c r="K161" s="42"/>
      <c r="L161" s="48" t="str">
        <f>IF(B161&lt;&gt;0,IFERROR(UPPER(VLOOKUP(F161,Clientes!A:B,2,0)),"REGISTRAR CLIENTE"),"")</f>
        <v/>
      </c>
    </row>
    <row r="162" spans="11:12" x14ac:dyDescent="0.2">
      <c r="K162" s="42"/>
      <c r="L162" s="48" t="str">
        <f>IF(B162&lt;&gt;0,IFERROR(UPPER(VLOOKUP(F162,Clientes!A:B,2,0)),"REGISTRAR CLIENTE"),"")</f>
        <v/>
      </c>
    </row>
    <row r="163" spans="11:12" x14ac:dyDescent="0.2">
      <c r="K163" s="42"/>
      <c r="L163" s="48" t="str">
        <f>IF(B163&lt;&gt;0,IFERROR(UPPER(VLOOKUP(F163,Clientes!A:B,2,0)),"REGISTRAR CLIENTE"),"")</f>
        <v/>
      </c>
    </row>
    <row r="164" spans="11:12" x14ac:dyDescent="0.2">
      <c r="K164" s="42"/>
      <c r="L164" s="48" t="str">
        <f>IF(B164&lt;&gt;0,IFERROR(UPPER(VLOOKUP(F164,Clientes!A:B,2,0)),"REGISTRAR CLIENTE"),"")</f>
        <v/>
      </c>
    </row>
    <row r="165" spans="11:12" x14ac:dyDescent="0.2">
      <c r="K165" s="42"/>
      <c r="L165" s="48" t="str">
        <f>IF(B165&lt;&gt;0,IFERROR(UPPER(VLOOKUP(F165,Clientes!A:B,2,0)),"REGISTRAR CLIENTE"),"")</f>
        <v/>
      </c>
    </row>
    <row r="166" spans="11:12" x14ac:dyDescent="0.2">
      <c r="K166" s="42"/>
      <c r="L166" s="48" t="str">
        <f>IF(B166&lt;&gt;0,IFERROR(UPPER(VLOOKUP(F166,Clientes!A:B,2,0)),"REGISTRAR CLIENTE"),"")</f>
        <v/>
      </c>
    </row>
    <row r="167" spans="11:12" x14ac:dyDescent="0.2">
      <c r="K167" s="42"/>
      <c r="L167" s="48" t="str">
        <f>IF(B167&lt;&gt;0,IFERROR(UPPER(VLOOKUP(F167,Clientes!A:B,2,0)),"REGISTRAR CLIENTE"),"")</f>
        <v/>
      </c>
    </row>
    <row r="168" spans="11:12" x14ac:dyDescent="0.2">
      <c r="K168" s="42"/>
      <c r="L168" s="48" t="str">
        <f>IF(B168&lt;&gt;0,IFERROR(UPPER(VLOOKUP(F168,Clientes!A:B,2,0)),"REGISTRAR CLIENTE"),"")</f>
        <v/>
      </c>
    </row>
    <row r="169" spans="11:12" x14ac:dyDescent="0.2">
      <c r="K169" s="42"/>
      <c r="L169" s="48" t="str">
        <f>IF(B169&lt;&gt;0,IFERROR(UPPER(VLOOKUP(F169,Clientes!A:B,2,0)),"REGISTRAR CLIENTE"),"")</f>
        <v/>
      </c>
    </row>
    <row r="170" spans="11:12" x14ac:dyDescent="0.2">
      <c r="K170" s="42"/>
      <c r="L170" s="48" t="str">
        <f>IF(B170&lt;&gt;0,IFERROR(UPPER(VLOOKUP(F170,Clientes!A:B,2,0)),"REGISTRAR CLIENTE"),"")</f>
        <v/>
      </c>
    </row>
    <row r="171" spans="11:12" x14ac:dyDescent="0.2">
      <c r="K171" s="42"/>
      <c r="L171" s="48" t="str">
        <f>IF(B171&lt;&gt;0,IFERROR(UPPER(VLOOKUP(F171,Clientes!A:B,2,0)),"REGISTRAR CLIENTE"),"")</f>
        <v/>
      </c>
    </row>
    <row r="172" spans="11:12" x14ac:dyDescent="0.2">
      <c r="K172" s="42"/>
      <c r="L172" s="48" t="str">
        <f>IF(B172&lt;&gt;0,IFERROR(UPPER(VLOOKUP(F172,Clientes!A:B,2,0)),"REGISTRAR CLIENTE"),"")</f>
        <v/>
      </c>
    </row>
    <row r="173" spans="11:12" x14ac:dyDescent="0.2">
      <c r="K173" s="42"/>
      <c r="L173" s="48" t="str">
        <f>IF(B173&lt;&gt;0,IFERROR(UPPER(VLOOKUP(F173,Clientes!A:B,2,0)),"REGISTRAR CLIENTE"),"")</f>
        <v/>
      </c>
    </row>
    <row r="174" spans="11:12" x14ac:dyDescent="0.2">
      <c r="K174" s="42"/>
      <c r="L174" s="48" t="str">
        <f>IF(B174&lt;&gt;0,IFERROR(UPPER(VLOOKUP(F174,Clientes!A:B,2,0)),"REGISTRAR CLIENTE"),"")</f>
        <v/>
      </c>
    </row>
    <row r="175" spans="11:12" x14ac:dyDescent="0.2">
      <c r="K175" s="42"/>
      <c r="L175" s="48" t="str">
        <f>IF(B175&lt;&gt;0,IFERROR(UPPER(VLOOKUP(F175,Clientes!A:B,2,0)),"REGISTRAR CLIENTE"),"")</f>
        <v/>
      </c>
    </row>
    <row r="176" spans="11:12" x14ac:dyDescent="0.2">
      <c r="K176" s="42"/>
      <c r="L176" s="48" t="str">
        <f>IF(B176&lt;&gt;0,IFERROR(UPPER(VLOOKUP(F176,Clientes!A:B,2,0)),"REGISTRAR CLIENTE"),"")</f>
        <v/>
      </c>
    </row>
    <row r="177" spans="11:12" x14ac:dyDescent="0.2">
      <c r="K177" s="42"/>
      <c r="L177" s="48" t="str">
        <f>IF(B177&lt;&gt;0,IFERROR(UPPER(VLOOKUP(F177,Clientes!A:B,2,0)),"REGISTRAR CLIENTE"),"")</f>
        <v/>
      </c>
    </row>
    <row r="178" spans="11:12" x14ac:dyDescent="0.2">
      <c r="K178" s="42"/>
      <c r="L178" s="48" t="str">
        <f>IF(B178&lt;&gt;0,IFERROR(UPPER(VLOOKUP(F178,Clientes!A:B,2,0)),"REGISTRAR CLIENTE"),"")</f>
        <v/>
      </c>
    </row>
    <row r="179" spans="11:12" x14ac:dyDescent="0.2">
      <c r="K179" s="42"/>
      <c r="L179" s="48" t="str">
        <f>IF(B179&lt;&gt;0,IFERROR(UPPER(VLOOKUP(F179,Clientes!A:B,2,0)),"REGISTRAR CLIENTE"),"")</f>
        <v/>
      </c>
    </row>
    <row r="180" spans="11:12" x14ac:dyDescent="0.2">
      <c r="K180" s="42"/>
      <c r="L180" s="48" t="str">
        <f>IF(B180&lt;&gt;0,IFERROR(UPPER(VLOOKUP(F180,Clientes!A:B,2,0)),"REGISTRAR CLIENTE"),"")</f>
        <v/>
      </c>
    </row>
    <row r="181" spans="11:12" x14ac:dyDescent="0.2">
      <c r="K181" s="42"/>
      <c r="L181" s="48" t="str">
        <f>IF(B181&lt;&gt;0,IFERROR(UPPER(VLOOKUP(F181,Clientes!A:B,2,0)),"REGISTRAR CLIENTE"),"")</f>
        <v/>
      </c>
    </row>
    <row r="182" spans="11:12" x14ac:dyDescent="0.2">
      <c r="K182" s="42"/>
      <c r="L182" s="48" t="str">
        <f>IF(B182&lt;&gt;0,IFERROR(UPPER(VLOOKUP(F182,Clientes!A:B,2,0)),"REGISTRAR CLIENTE"),"")</f>
        <v/>
      </c>
    </row>
    <row r="183" spans="11:12" x14ac:dyDescent="0.2">
      <c r="K183" s="42"/>
      <c r="L183" s="48" t="str">
        <f>IF(B183&lt;&gt;0,IFERROR(UPPER(VLOOKUP(F183,Clientes!A:B,2,0)),"REGISTRAR CLIENTE"),"")</f>
        <v/>
      </c>
    </row>
    <row r="184" spans="11:12" x14ac:dyDescent="0.2">
      <c r="K184" s="42"/>
      <c r="L184" s="48" t="str">
        <f>IF(B184&lt;&gt;0,IFERROR(UPPER(VLOOKUP(F184,Clientes!A:B,2,0)),"REGISTRAR CLIENTE"),"")</f>
        <v/>
      </c>
    </row>
    <row r="185" spans="11:12" x14ac:dyDescent="0.2">
      <c r="K185" s="42"/>
      <c r="L185" s="48" t="str">
        <f>IF(B185&lt;&gt;0,IFERROR(UPPER(VLOOKUP(F185,Clientes!A:B,2,0)),"REGISTRAR CLIENTE"),"")</f>
        <v/>
      </c>
    </row>
    <row r="186" spans="11:12" x14ac:dyDescent="0.2">
      <c r="K186" s="42"/>
      <c r="L186" s="48" t="str">
        <f>IF(B186&lt;&gt;0,IFERROR(UPPER(VLOOKUP(F186,Clientes!A:B,2,0)),"REGISTRAR CLIENTE"),"")</f>
        <v/>
      </c>
    </row>
    <row r="187" spans="11:12" x14ac:dyDescent="0.2">
      <c r="K187" s="42"/>
      <c r="L187" s="48" t="str">
        <f>IF(B187&lt;&gt;0,IFERROR(UPPER(VLOOKUP(F187,Clientes!A:B,2,0)),"REGISTRAR CLIENTE"),"")</f>
        <v/>
      </c>
    </row>
    <row r="188" spans="11:12" x14ac:dyDescent="0.2">
      <c r="K188" s="42"/>
      <c r="L188" s="48" t="str">
        <f>IF(B188&lt;&gt;0,IFERROR(UPPER(VLOOKUP(F188,Clientes!A:B,2,0)),"REGISTRAR CLIENTE"),"")</f>
        <v/>
      </c>
    </row>
    <row r="189" spans="11:12" x14ac:dyDescent="0.2">
      <c r="K189" s="42"/>
      <c r="L189" s="48" t="str">
        <f>IF(B189&lt;&gt;0,IFERROR(UPPER(VLOOKUP(F189,Clientes!A:B,2,0)),"REGISTRAR CLIENTE"),"")</f>
        <v/>
      </c>
    </row>
    <row r="190" spans="11:12" x14ac:dyDescent="0.2">
      <c r="K190" s="42"/>
      <c r="L190" s="48" t="str">
        <f>IF(B190&lt;&gt;0,IFERROR(UPPER(VLOOKUP(F190,Clientes!A:B,2,0)),"REGISTRAR CLIENTE"),"")</f>
        <v/>
      </c>
    </row>
    <row r="191" spans="11:12" x14ac:dyDescent="0.2">
      <c r="K191" s="42"/>
      <c r="L191" s="48" t="str">
        <f>IF(B191&lt;&gt;0,IFERROR(UPPER(VLOOKUP(F191,Clientes!A:B,2,0)),"REGISTRAR CLIENTE"),"")</f>
        <v/>
      </c>
    </row>
    <row r="192" spans="11:12" x14ac:dyDescent="0.2">
      <c r="K192" s="42"/>
      <c r="L192" s="48" t="str">
        <f>IF(B192&lt;&gt;0,IFERROR(UPPER(VLOOKUP(F192,Clientes!A:B,2,0)),"REGISTRAR CLIENTE"),"")</f>
        <v/>
      </c>
    </row>
    <row r="193" spans="11:12" x14ac:dyDescent="0.2">
      <c r="K193" s="42"/>
      <c r="L193" s="48" t="str">
        <f>IF(B193&lt;&gt;0,IFERROR(UPPER(VLOOKUP(F193,Clientes!A:B,2,0)),"REGISTRAR CLIENTE"),"")</f>
        <v/>
      </c>
    </row>
    <row r="194" spans="11:12" x14ac:dyDescent="0.2">
      <c r="K194" s="42"/>
      <c r="L194" s="48" t="str">
        <f>IF(B194&lt;&gt;0,IFERROR(UPPER(VLOOKUP(F194,Clientes!A:B,2,0)),"REGISTRAR CLIENTE"),"")</f>
        <v/>
      </c>
    </row>
    <row r="195" spans="11:12" x14ac:dyDescent="0.2">
      <c r="K195" s="42"/>
      <c r="L195" s="48" t="str">
        <f>IF(B195&lt;&gt;0,IFERROR(UPPER(VLOOKUP(F195,Clientes!A:B,2,0)),"REGISTRAR CLIENTE"),"")</f>
        <v/>
      </c>
    </row>
    <row r="196" spans="11:12" x14ac:dyDescent="0.2">
      <c r="K196" s="42"/>
      <c r="L196" s="48" t="str">
        <f>IF(B196&lt;&gt;0,IFERROR(UPPER(VLOOKUP(F196,Clientes!A:B,2,0)),"REGISTRAR CLIENTE"),"")</f>
        <v/>
      </c>
    </row>
    <row r="197" spans="11:12" x14ac:dyDescent="0.2">
      <c r="K197" s="42"/>
      <c r="L197" s="48" t="str">
        <f>IF(B197&lt;&gt;0,IFERROR(UPPER(VLOOKUP(F197,Clientes!A:B,2,0)),"REGISTRAR CLIENTE"),"")</f>
        <v/>
      </c>
    </row>
    <row r="198" spans="11:12" x14ac:dyDescent="0.2">
      <c r="K198" s="42"/>
      <c r="L198" s="48" t="str">
        <f>IF(B198&lt;&gt;0,IFERROR(UPPER(VLOOKUP(F198,Clientes!A:B,2,0)),"REGISTRAR CLIENTE"),"")</f>
        <v/>
      </c>
    </row>
    <row r="199" spans="11:12" x14ac:dyDescent="0.2">
      <c r="K199" s="42"/>
      <c r="L199" s="48" t="str">
        <f>IF(B199&lt;&gt;0,IFERROR(UPPER(VLOOKUP(F199,Clientes!A:B,2,0)),"REGISTRAR CLIENTE"),"")</f>
        <v/>
      </c>
    </row>
    <row r="200" spans="11:12" x14ac:dyDescent="0.2">
      <c r="K200" s="42"/>
      <c r="L200" s="48" t="str">
        <f>IF(B200&lt;&gt;0,IFERROR(UPPER(VLOOKUP(F200,Clientes!A:B,2,0)),"REGISTRAR CLIENTE"),"")</f>
        <v/>
      </c>
    </row>
    <row r="201" spans="11:12" x14ac:dyDescent="0.2">
      <c r="K201" s="42"/>
      <c r="L201" s="48" t="str">
        <f>IF(B201&lt;&gt;0,IFERROR(UPPER(VLOOKUP(F201,Clientes!A:B,2,0)),"REGISTRAR CLIENTE"),"")</f>
        <v/>
      </c>
    </row>
    <row r="202" spans="11:12" x14ac:dyDescent="0.2">
      <c r="K202" s="42"/>
      <c r="L202" s="48" t="str">
        <f>IF(B202&lt;&gt;0,IFERROR(UPPER(VLOOKUP(F202,Clientes!A:B,2,0)),"REGISTRAR CLIENTE"),"")</f>
        <v/>
      </c>
    </row>
    <row r="203" spans="11:12" x14ac:dyDescent="0.2">
      <c r="K203" s="42"/>
      <c r="L203" s="48" t="str">
        <f>IF(B203&lt;&gt;0,IFERROR(UPPER(VLOOKUP(F203,Clientes!A:B,2,0)),"REGISTRAR CLIENTE"),"")</f>
        <v/>
      </c>
    </row>
    <row r="204" spans="11:12" x14ac:dyDescent="0.2">
      <c r="K204" s="42"/>
      <c r="L204" s="48" t="str">
        <f>IF(B204&lt;&gt;0,IFERROR(UPPER(VLOOKUP(F204,Clientes!A:B,2,0)),"REGISTRAR CLIENTE"),"")</f>
        <v/>
      </c>
    </row>
    <row r="205" spans="11:12" x14ac:dyDescent="0.2">
      <c r="K205" s="42"/>
      <c r="L205" s="48" t="str">
        <f>IF(B205&lt;&gt;0,IFERROR(UPPER(VLOOKUP(F205,Clientes!A:B,2,0)),"REGISTRAR CLIENTE"),"")</f>
        <v/>
      </c>
    </row>
    <row r="206" spans="11:12" x14ac:dyDescent="0.2">
      <c r="K206" s="42"/>
      <c r="L206" s="48" t="str">
        <f>IF(B206&lt;&gt;0,IFERROR(UPPER(VLOOKUP(F206,Clientes!A:B,2,0)),"REGISTRAR CLIENTE"),"")</f>
        <v/>
      </c>
    </row>
    <row r="207" spans="11:12" x14ac:dyDescent="0.2">
      <c r="K207" s="42"/>
      <c r="L207" s="48" t="str">
        <f>IF(B207&lt;&gt;0,IFERROR(UPPER(VLOOKUP(F207,Clientes!A:B,2,0)),"REGISTRAR CLIENTE"),"")</f>
        <v/>
      </c>
    </row>
    <row r="208" spans="11:12" x14ac:dyDescent="0.2">
      <c r="L208" s="48" t="str">
        <f>IF(B208&lt;&gt;0,IFERROR(UPPER(VLOOKUP(F208,Clientes!A:B,2,0)),"REGISTRAR CLIENTE"),"")</f>
        <v/>
      </c>
    </row>
    <row r="209" spans="12:12" x14ac:dyDescent="0.2">
      <c r="L209" s="48" t="str">
        <f>IF(B209&lt;&gt;0,IFERROR(UPPER(VLOOKUP(F209,Clientes!A:B,2,0)),"REGISTRAR CLIENTE"),"")</f>
        <v/>
      </c>
    </row>
    <row r="210" spans="12:12" x14ac:dyDescent="0.2">
      <c r="L210" s="48" t="str">
        <f>IF(B210&lt;&gt;0,IFERROR(UPPER(VLOOKUP(F210,Clientes!A:B,2,0)),"REGISTRAR CLIENTE"),"")</f>
        <v/>
      </c>
    </row>
    <row r="211" spans="12:12" x14ac:dyDescent="0.2">
      <c r="L211" s="48" t="str">
        <f>IF(B211&lt;&gt;0,IFERROR(UPPER(VLOOKUP(F211,Clientes!A:B,2,0)),"REGISTRAR CLIENTE"),"")</f>
        <v/>
      </c>
    </row>
    <row r="212" spans="12:12" x14ac:dyDescent="0.2">
      <c r="L212" s="48" t="str">
        <f>IF(B212&lt;&gt;0,IFERROR(UPPER(VLOOKUP(F212,Clientes!A:B,2,0)),"REGISTRAR CLIENTE"),"")</f>
        <v/>
      </c>
    </row>
    <row r="213" spans="12:12" x14ac:dyDescent="0.2">
      <c r="L213" s="48" t="str">
        <f>IF(B213&lt;&gt;0,IFERROR(UPPER(VLOOKUP(F213,Clientes!A:B,2,0)),"REGISTRAR CLIENTE"),"")</f>
        <v/>
      </c>
    </row>
    <row r="214" spans="12:12" x14ac:dyDescent="0.2">
      <c r="L214" s="48" t="str">
        <f>IF(B214&lt;&gt;0,IFERROR(UPPER(VLOOKUP(F214,Clientes!A:B,2,0)),"REGISTRAR CLIENTE"),"")</f>
        <v/>
      </c>
    </row>
    <row r="215" spans="12:12" x14ac:dyDescent="0.2">
      <c r="L215" s="48" t="str">
        <f>IF(B215&lt;&gt;0,IFERROR(UPPER(VLOOKUP(F215,Clientes!A:B,2,0)),"REGISTRAR CLIENTE"),"")</f>
        <v/>
      </c>
    </row>
    <row r="216" spans="12:12" x14ac:dyDescent="0.2">
      <c r="L216" s="48" t="str">
        <f>IF(B216&lt;&gt;0,IFERROR(UPPER(VLOOKUP(F216,Clientes!A:B,2,0)),"REGISTRAR CLIENTE"),"")</f>
        <v/>
      </c>
    </row>
    <row r="217" spans="12:12" x14ac:dyDescent="0.2">
      <c r="L217" s="48" t="str">
        <f>IF(B217&lt;&gt;0,IFERROR(UPPER(VLOOKUP(F217,Clientes!A:B,2,0)),"REGISTRAR CLIENTE"),"")</f>
        <v/>
      </c>
    </row>
    <row r="218" spans="12:12" x14ac:dyDescent="0.2">
      <c r="L218" s="48" t="str">
        <f>IF(B218&lt;&gt;0,IFERROR(UPPER(VLOOKUP(F218,Clientes!A:B,2,0)),"REGISTRAR CLIENTE"),"")</f>
        <v/>
      </c>
    </row>
    <row r="219" spans="12:12" x14ac:dyDescent="0.2">
      <c r="L219" s="48" t="str">
        <f>IF(B219&lt;&gt;0,IFERROR(UPPER(VLOOKUP(F219,Clientes!A:B,2,0)),"REGISTRAR CLIENTE"),"")</f>
        <v/>
      </c>
    </row>
    <row r="220" spans="12:12" x14ac:dyDescent="0.2">
      <c r="L220" s="48" t="str">
        <f>IF(B220&lt;&gt;0,IFERROR(UPPER(VLOOKUP(F220,Clientes!A:B,2,0)),"REGISTRAR CLIENTE"),"")</f>
        <v/>
      </c>
    </row>
    <row r="221" spans="12:12" x14ac:dyDescent="0.2">
      <c r="L221" s="48" t="str">
        <f>IF(B221&lt;&gt;0,IFERROR(UPPER(VLOOKUP(F221,Clientes!A:B,2,0)),"REGISTRAR CLIENTE"),"")</f>
        <v/>
      </c>
    </row>
    <row r="222" spans="12:12" x14ac:dyDescent="0.2">
      <c r="L222" s="48" t="str">
        <f>IF(B222&lt;&gt;0,IFERROR(UPPER(VLOOKUP(F222,Clientes!A:B,2,0)),"REGISTRAR CLIENTE"),"")</f>
        <v/>
      </c>
    </row>
    <row r="223" spans="12:12" x14ac:dyDescent="0.2">
      <c r="L223" s="48" t="str">
        <f>IF(B223&lt;&gt;0,IFERROR(UPPER(VLOOKUP(F223,Clientes!A:B,2,0)),"REGISTRAR CLIENTE"),"")</f>
        <v/>
      </c>
    </row>
    <row r="224" spans="12:12" x14ac:dyDescent="0.2">
      <c r="L224" s="48" t="str">
        <f>IF(B224&lt;&gt;0,IFERROR(UPPER(VLOOKUP(F224,Clientes!A:B,2,0)),"REGISTRAR CLIENTE"),"")</f>
        <v/>
      </c>
    </row>
    <row r="225" spans="12:12" x14ac:dyDescent="0.2">
      <c r="L225" s="48" t="str">
        <f>IF(B225&lt;&gt;0,IFERROR(UPPER(VLOOKUP(F225,Clientes!A:B,2,0)),"REGISTRAR CLIENTE"),"")</f>
        <v/>
      </c>
    </row>
    <row r="226" spans="12:12" x14ac:dyDescent="0.2">
      <c r="L226" s="48" t="str">
        <f>IF(B226&lt;&gt;0,IFERROR(UPPER(VLOOKUP(F226,Clientes!A:B,2,0)),"REGISTRAR CLIENTE"),"")</f>
        <v/>
      </c>
    </row>
    <row r="227" spans="12:12" x14ac:dyDescent="0.2">
      <c r="L227" s="48" t="str">
        <f>IF(B227&lt;&gt;0,IFERROR(UPPER(VLOOKUP(F227,Clientes!A:B,2,0)),"REGISTRAR CLIENTE"),"")</f>
        <v/>
      </c>
    </row>
    <row r="228" spans="12:12" x14ac:dyDescent="0.2">
      <c r="L228" s="48" t="str">
        <f>IF(B228&lt;&gt;0,IFERROR(UPPER(VLOOKUP(F228,Clientes!A:B,2,0)),"REGISTRAR CLIENTE"),"")</f>
        <v/>
      </c>
    </row>
    <row r="229" spans="12:12" x14ac:dyDescent="0.2">
      <c r="L229" s="48" t="str">
        <f>IF(B229&lt;&gt;0,IFERROR(UPPER(VLOOKUP(F229,Clientes!A:B,2,0)),"REGISTRAR CLIENTE"),"")</f>
        <v/>
      </c>
    </row>
    <row r="230" spans="12:12" x14ac:dyDescent="0.2">
      <c r="L230" s="48" t="str">
        <f>IF(B230&lt;&gt;0,IFERROR(UPPER(VLOOKUP(F230,Clientes!A:B,2,0)),"REGISTRAR CLIENTE"),"")</f>
        <v/>
      </c>
    </row>
    <row r="231" spans="12:12" x14ac:dyDescent="0.2">
      <c r="L231" s="48" t="str">
        <f>IF(B231&lt;&gt;0,IFERROR(UPPER(VLOOKUP(F231,Clientes!A:B,2,0)),"REGISTRAR CLIENTE"),"")</f>
        <v/>
      </c>
    </row>
    <row r="232" spans="12:12" x14ac:dyDescent="0.2">
      <c r="L232" s="48" t="str">
        <f>IF(B232&lt;&gt;0,IFERROR(UPPER(VLOOKUP(F232,Clientes!A:B,2,0)),"REGISTRAR CLIENTE"),"")</f>
        <v/>
      </c>
    </row>
    <row r="233" spans="12:12" x14ac:dyDescent="0.2">
      <c r="L233" s="48" t="str">
        <f>IF(B233&lt;&gt;0,IFERROR(UPPER(VLOOKUP(F233,Clientes!A:B,2,0)),"REGISTRAR CLIENTE"),"")</f>
        <v/>
      </c>
    </row>
    <row r="234" spans="12:12" x14ac:dyDescent="0.2">
      <c r="L234" s="48" t="str">
        <f>IF(B234&lt;&gt;0,IFERROR(UPPER(VLOOKUP(F234,Clientes!A:B,2,0)),"REGISTRAR CLIENTE"),"")</f>
        <v/>
      </c>
    </row>
    <row r="235" spans="12:12" x14ac:dyDescent="0.2">
      <c r="L235" s="48" t="str">
        <f>IF(B235&lt;&gt;0,IFERROR(UPPER(VLOOKUP(F235,Clientes!A:B,2,0)),"REGISTRAR CLIENTE"),"")</f>
        <v/>
      </c>
    </row>
    <row r="236" spans="12:12" x14ac:dyDescent="0.2">
      <c r="L236" s="48" t="str">
        <f>IF(B236&lt;&gt;0,IFERROR(UPPER(VLOOKUP(F236,Clientes!A:B,2,0)),"REGISTRAR CLIENTE"),"")</f>
        <v/>
      </c>
    </row>
    <row r="237" spans="12:12" x14ac:dyDescent="0.2">
      <c r="L237" s="48" t="str">
        <f>IF(B237&lt;&gt;0,IFERROR(UPPER(VLOOKUP(F237,Clientes!A:B,2,0)),"REGISTRAR CLIENTE"),"")</f>
        <v/>
      </c>
    </row>
    <row r="238" spans="12:12" x14ac:dyDescent="0.2">
      <c r="L238" s="48" t="str">
        <f>IF(B238&lt;&gt;0,IFERROR(UPPER(VLOOKUP(F238,Clientes!A:B,2,0)),"REGISTRAR CLIENTE"),"")</f>
        <v/>
      </c>
    </row>
    <row r="239" spans="12:12" x14ac:dyDescent="0.2">
      <c r="L239" s="48" t="str">
        <f>IF(B239&lt;&gt;0,IFERROR(UPPER(VLOOKUP(F239,Clientes!A:B,2,0)),"REGISTRAR CLIENTE"),"")</f>
        <v/>
      </c>
    </row>
    <row r="240" spans="12:12" x14ac:dyDescent="0.2">
      <c r="L240" s="48" t="str">
        <f>IF(B240&lt;&gt;0,IFERROR(UPPER(VLOOKUP(F240,Clientes!A:B,2,0)),"REGISTRAR CLIENTE"),"")</f>
        <v/>
      </c>
    </row>
    <row r="241" spans="12:12" x14ac:dyDescent="0.2">
      <c r="L241" s="48" t="str">
        <f>IF(B241&lt;&gt;0,IFERROR(UPPER(VLOOKUP(F241,Clientes!A:B,2,0)),"REGISTRAR CLIENTE"),"")</f>
        <v/>
      </c>
    </row>
    <row r="242" spans="12:12" x14ac:dyDescent="0.2">
      <c r="L242" s="48" t="str">
        <f>IF(B242&lt;&gt;0,IFERROR(UPPER(VLOOKUP(F242,Clientes!A:B,2,0)),"REGISTRAR CLIENTE"),"")</f>
        <v/>
      </c>
    </row>
    <row r="243" spans="12:12" x14ac:dyDescent="0.2">
      <c r="L243" s="48" t="str">
        <f>IF(B243&lt;&gt;0,IFERROR(UPPER(VLOOKUP(F243,Clientes!A:B,2,0)),"REGISTRAR CLIENTE"),"")</f>
        <v/>
      </c>
    </row>
    <row r="244" spans="12:12" x14ac:dyDescent="0.2">
      <c r="L244" s="48" t="str">
        <f>IF(B244&lt;&gt;0,IFERROR(UPPER(VLOOKUP(F244,Clientes!A:B,2,0)),"REGISTRAR CLIENTE"),"")</f>
        <v/>
      </c>
    </row>
    <row r="245" spans="12:12" x14ac:dyDescent="0.2">
      <c r="L245" s="48" t="str">
        <f>IF(B245&lt;&gt;0,IFERROR(UPPER(VLOOKUP(F245,Clientes!A:B,2,0)),"REGISTRAR CLIENTE"),"")</f>
        <v/>
      </c>
    </row>
    <row r="246" spans="12:12" x14ac:dyDescent="0.2">
      <c r="L246" s="48" t="str">
        <f>IF(B246&lt;&gt;0,IFERROR(UPPER(VLOOKUP(F246,Clientes!A:B,2,0)),"REGISTRAR CLIENTE"),"")</f>
        <v/>
      </c>
    </row>
    <row r="247" spans="12:12" x14ac:dyDescent="0.2">
      <c r="L247" s="48" t="str">
        <f>IF(B247&lt;&gt;0,IFERROR(UPPER(VLOOKUP(F247,Clientes!A:B,2,0)),"REGISTRAR CLIENTE"),"")</f>
        <v/>
      </c>
    </row>
    <row r="248" spans="12:12" x14ac:dyDescent="0.2">
      <c r="L248" s="48" t="str">
        <f>IF(B248&lt;&gt;0,IFERROR(UPPER(VLOOKUP(F248,Clientes!A:B,2,0)),"REGISTRAR CLIENTE"),"")</f>
        <v/>
      </c>
    </row>
    <row r="249" spans="12:12" x14ac:dyDescent="0.2">
      <c r="L249" s="48" t="str">
        <f>IF(B249&lt;&gt;0,IFERROR(UPPER(VLOOKUP(F249,Clientes!A:B,2,0)),"REGISTRAR CLIENTE"),"")</f>
        <v/>
      </c>
    </row>
    <row r="250" spans="12:12" x14ac:dyDescent="0.2">
      <c r="L250" s="48" t="str">
        <f>IF(B250&lt;&gt;0,IFERROR(UPPER(VLOOKUP(F250,Clientes!A:B,2,0)),"REGISTRAR CLIENTE"),"")</f>
        <v/>
      </c>
    </row>
    <row r="251" spans="12:12" x14ac:dyDescent="0.2">
      <c r="L251" s="48" t="str">
        <f>IF(B251&lt;&gt;0,IFERROR(UPPER(VLOOKUP(F251,Clientes!A:B,2,0)),"REGISTRAR CLIENTE"),"")</f>
        <v/>
      </c>
    </row>
    <row r="252" spans="12:12" x14ac:dyDescent="0.2">
      <c r="L252" s="48" t="str">
        <f>IF(B252&lt;&gt;0,IFERROR(UPPER(VLOOKUP(F252,Clientes!A:B,2,0)),"REGISTRAR CLIENTE"),"")</f>
        <v/>
      </c>
    </row>
    <row r="253" spans="12:12" x14ac:dyDescent="0.2">
      <c r="L253" s="48" t="str">
        <f>IF(B253&lt;&gt;0,IFERROR(UPPER(VLOOKUP(F253,Clientes!A:B,2,0)),"REGISTRAR CLIENTE"),"")</f>
        <v/>
      </c>
    </row>
    <row r="254" spans="12:12" x14ac:dyDescent="0.2">
      <c r="L254" s="48" t="str">
        <f>IF(B254&lt;&gt;0,IFERROR(UPPER(VLOOKUP(F254,Clientes!A:B,2,0)),"REGISTRAR CLIENTE"),"")</f>
        <v/>
      </c>
    </row>
    <row r="255" spans="12:12" x14ac:dyDescent="0.2">
      <c r="L255" s="48" t="str">
        <f>IF(B255&lt;&gt;0,IFERROR(UPPER(VLOOKUP(F255,Clientes!A:B,2,0)),"REGISTRAR CLIENTE"),"")</f>
        <v/>
      </c>
    </row>
    <row r="256" spans="12:12" x14ac:dyDescent="0.2">
      <c r="L256" s="48" t="str">
        <f>IF(B256&lt;&gt;0,IFERROR(UPPER(VLOOKUP(F256,Clientes!A:B,2,0)),"REGISTRAR CLIENTE"),"")</f>
        <v/>
      </c>
    </row>
    <row r="257" spans="12:12" x14ac:dyDescent="0.2">
      <c r="L257" s="48" t="str">
        <f>IF(B257&lt;&gt;0,IFERROR(UPPER(VLOOKUP(F257,Clientes!A:B,2,0)),"REGISTRAR CLIENTE"),"")</f>
        <v/>
      </c>
    </row>
    <row r="258" spans="12:12" x14ac:dyDescent="0.2">
      <c r="L258" s="48" t="str">
        <f>IF(B258&lt;&gt;0,IFERROR(UPPER(VLOOKUP(F258,Clientes!A:B,2,0)),"REGISTRAR CLIENTE"),"")</f>
        <v/>
      </c>
    </row>
    <row r="259" spans="12:12" x14ac:dyDescent="0.2">
      <c r="L259" s="48" t="str">
        <f>IF(B259&lt;&gt;0,IFERROR(UPPER(VLOOKUP(F259,Clientes!A:B,2,0)),"REGISTRAR CLIENTE"),"")</f>
        <v/>
      </c>
    </row>
    <row r="260" spans="12:12" x14ac:dyDescent="0.2">
      <c r="L260" s="48" t="str">
        <f>IF(B260&lt;&gt;0,IFERROR(UPPER(VLOOKUP(F260,Clientes!A:B,2,0)),"REGISTRAR CLIENTE"),"")</f>
        <v/>
      </c>
    </row>
    <row r="261" spans="12:12" x14ac:dyDescent="0.2">
      <c r="L261" s="48" t="str">
        <f>IF(B261&lt;&gt;0,IFERROR(UPPER(VLOOKUP(F261,Clientes!A:B,2,0)),"REGISTRAR CLIENTE"),"")</f>
        <v/>
      </c>
    </row>
    <row r="262" spans="12:12" x14ac:dyDescent="0.2">
      <c r="L262" s="48" t="str">
        <f>IF(B262&lt;&gt;0,IFERROR(UPPER(VLOOKUP(F262,Clientes!A:B,2,0)),"REGISTRAR CLIENTE"),"")</f>
        <v/>
      </c>
    </row>
    <row r="263" spans="12:12" x14ac:dyDescent="0.2">
      <c r="L263" s="48" t="str">
        <f>IF(B263&lt;&gt;0,IFERROR(UPPER(VLOOKUP(F263,Clientes!A:B,2,0)),"REGISTRAR CLIENTE"),"")</f>
        <v/>
      </c>
    </row>
    <row r="264" spans="12:12" x14ac:dyDescent="0.2">
      <c r="L264" s="48" t="str">
        <f>IF(B264&lt;&gt;0,IFERROR(UPPER(VLOOKUP(F264,Clientes!A:B,2,0)),"REGISTRAR CLIENTE"),"")</f>
        <v/>
      </c>
    </row>
    <row r="265" spans="12:12" x14ac:dyDescent="0.2">
      <c r="L265" s="48" t="str">
        <f>IF(B265&lt;&gt;0,IFERROR(UPPER(VLOOKUP(F265,Clientes!A:B,2,0)),"REGISTRAR CLIENTE"),"")</f>
        <v/>
      </c>
    </row>
    <row r="266" spans="12:12" x14ac:dyDescent="0.2">
      <c r="L266" s="48" t="str">
        <f>IF(B266&lt;&gt;0,IFERROR(UPPER(VLOOKUP(F266,Clientes!A:B,2,0)),"REGISTRAR CLIENTE"),"")</f>
        <v/>
      </c>
    </row>
    <row r="267" spans="12:12" x14ac:dyDescent="0.2">
      <c r="L267" s="48" t="str">
        <f>IF(B267&lt;&gt;0,IFERROR(UPPER(VLOOKUP(F267,Clientes!A:B,2,0)),"REGISTRAR CLIENTE"),"")</f>
        <v/>
      </c>
    </row>
    <row r="268" spans="12:12" x14ac:dyDescent="0.2">
      <c r="L268" s="48" t="str">
        <f>IF(B268&lt;&gt;0,IFERROR(UPPER(VLOOKUP(F268,Clientes!A:B,2,0)),"REGISTRAR CLIENTE"),"")</f>
        <v/>
      </c>
    </row>
    <row r="269" spans="12:12" x14ac:dyDescent="0.2">
      <c r="L269" s="48" t="str">
        <f>IF(B269&lt;&gt;0,IFERROR(UPPER(VLOOKUP(F269,Clientes!A:B,2,0)),"REGISTRAR CLIENTE"),"")</f>
        <v/>
      </c>
    </row>
    <row r="270" spans="12:12" x14ac:dyDescent="0.2">
      <c r="L270" s="48" t="str">
        <f>IF(B270&lt;&gt;0,IFERROR(UPPER(VLOOKUP(F270,Clientes!A:B,2,0)),"REGISTRAR CLIENTE"),"")</f>
        <v/>
      </c>
    </row>
    <row r="271" spans="12:12" x14ac:dyDescent="0.2">
      <c r="L271" s="48" t="str">
        <f>IF(B271&lt;&gt;0,IFERROR(UPPER(VLOOKUP(F271,Clientes!A:B,2,0)),"REGISTRAR CLIENTE"),"")</f>
        <v/>
      </c>
    </row>
    <row r="272" spans="12:12" x14ac:dyDescent="0.2">
      <c r="L272" s="48" t="str">
        <f>IF(B272&lt;&gt;0,IFERROR(UPPER(VLOOKUP(F272,Clientes!A:B,2,0)),"REGISTRAR CLIENTE"),"")</f>
        <v/>
      </c>
    </row>
    <row r="273" spans="12:12" x14ac:dyDescent="0.2">
      <c r="L273" s="48" t="str">
        <f>IF(B273&lt;&gt;0,IFERROR(UPPER(VLOOKUP(F273,Clientes!A:B,2,0)),"REGISTRAR CLIENTE"),"")</f>
        <v/>
      </c>
    </row>
    <row r="274" spans="12:12" x14ac:dyDescent="0.2">
      <c r="L274" s="48" t="str">
        <f>IF(B274&lt;&gt;0,IFERROR(UPPER(VLOOKUP(F274,Clientes!A:B,2,0)),"REGISTRAR CLIENTE"),"")</f>
        <v/>
      </c>
    </row>
    <row r="275" spans="12:12" x14ac:dyDescent="0.2">
      <c r="L275" s="48" t="str">
        <f>IF(B275&lt;&gt;0,IFERROR(UPPER(VLOOKUP(F275,Clientes!A:B,2,0)),"REGISTRAR CLIENTE"),"")</f>
        <v/>
      </c>
    </row>
    <row r="276" spans="12:12" x14ac:dyDescent="0.2">
      <c r="L276" s="48" t="str">
        <f>IF(B276&lt;&gt;0,IFERROR(UPPER(VLOOKUP(F276,Clientes!A:B,2,0)),"REGISTRAR CLIENTE"),"")</f>
        <v/>
      </c>
    </row>
    <row r="277" spans="12:12" x14ac:dyDescent="0.2">
      <c r="L277" s="48" t="str">
        <f>IF(B277&lt;&gt;0,IFERROR(UPPER(VLOOKUP(F277,Clientes!A:B,2,0)),"REGISTRAR CLIENTE"),"")</f>
        <v/>
      </c>
    </row>
    <row r="278" spans="12:12" x14ac:dyDescent="0.2">
      <c r="L278" s="48" t="str">
        <f>IF(B278&lt;&gt;0,IFERROR(UPPER(VLOOKUP(F278,Clientes!A:B,2,0)),"REGISTRAR CLIENTE"),"")</f>
        <v/>
      </c>
    </row>
    <row r="279" spans="12:12" x14ac:dyDescent="0.2">
      <c r="L279" s="48" t="str">
        <f>IF(B279&lt;&gt;0,IFERROR(UPPER(VLOOKUP(F279,Clientes!A:B,2,0)),"REGISTRAR CLIENTE"),"")</f>
        <v/>
      </c>
    </row>
    <row r="280" spans="12:12" x14ac:dyDescent="0.2">
      <c r="L280" s="48" t="str">
        <f>IF(B280&lt;&gt;0,IFERROR(UPPER(VLOOKUP(F280,Clientes!A:B,2,0)),"REGISTRAR CLIENTE"),"")</f>
        <v/>
      </c>
    </row>
    <row r="281" spans="12:12" x14ac:dyDescent="0.2">
      <c r="L281" s="48" t="str">
        <f>IF(B281&lt;&gt;0,IFERROR(UPPER(VLOOKUP(F281,Clientes!A:B,2,0)),"REGISTRAR CLIENTE"),"")</f>
        <v/>
      </c>
    </row>
    <row r="282" spans="12:12" x14ac:dyDescent="0.2">
      <c r="L282" s="48" t="str">
        <f>IF(B282&lt;&gt;0,IFERROR(UPPER(VLOOKUP(F282,Clientes!A:B,2,0)),"REGISTRAR CLIENTE"),"")</f>
        <v/>
      </c>
    </row>
    <row r="283" spans="12:12" x14ac:dyDescent="0.2">
      <c r="L283" s="48" t="str">
        <f>IF(B283&lt;&gt;0,IFERROR(UPPER(VLOOKUP(F283,Clientes!A:B,2,0)),"REGISTRAR CLIENTE"),"")</f>
        <v/>
      </c>
    </row>
    <row r="284" spans="12:12" x14ac:dyDescent="0.2">
      <c r="L284" s="48" t="str">
        <f>IF(B284&lt;&gt;0,IFERROR(UPPER(VLOOKUP(F284,Clientes!A:B,2,0)),"REGISTRAR CLIENTE"),"")</f>
        <v/>
      </c>
    </row>
    <row r="285" spans="12:12" x14ac:dyDescent="0.2">
      <c r="L285" s="48" t="str">
        <f>IF(B285&lt;&gt;0,IFERROR(UPPER(VLOOKUP(F285,Clientes!A:B,2,0)),"REGISTRAR CLIENTE"),"")</f>
        <v/>
      </c>
    </row>
    <row r="286" spans="12:12" x14ac:dyDescent="0.2">
      <c r="L286" s="48" t="str">
        <f>IF(B286&lt;&gt;0,IFERROR(UPPER(VLOOKUP(F286,Clientes!A:B,2,0)),"REGISTRAR CLIENTE"),"")</f>
        <v/>
      </c>
    </row>
    <row r="287" spans="12:12" x14ac:dyDescent="0.2">
      <c r="L287" s="48" t="str">
        <f>IF(B287&lt;&gt;0,IFERROR(UPPER(VLOOKUP(F287,Clientes!A:B,2,0)),"REGISTRAR CLIENTE"),"")</f>
        <v/>
      </c>
    </row>
    <row r="288" spans="12:12" x14ac:dyDescent="0.2">
      <c r="L288" s="48" t="str">
        <f>IF(B288&lt;&gt;0,IFERROR(UPPER(VLOOKUP(F288,Clientes!A:B,2,0)),"REGISTRAR CLIENTE"),"")</f>
        <v/>
      </c>
    </row>
    <row r="289" spans="12:12" x14ac:dyDescent="0.2">
      <c r="L289" s="48" t="str">
        <f>IF(B289&lt;&gt;0,IFERROR(UPPER(VLOOKUP(F289,Clientes!A:B,2,0)),"REGISTRAR CLIENTE"),"")</f>
        <v/>
      </c>
    </row>
    <row r="290" spans="12:12" x14ac:dyDescent="0.2">
      <c r="L290" s="48" t="str">
        <f>IF(B290&lt;&gt;0,IFERROR(UPPER(VLOOKUP(F290,Clientes!A:B,2,0)),"REGISTRAR CLIENTE"),"")</f>
        <v/>
      </c>
    </row>
    <row r="291" spans="12:12" x14ac:dyDescent="0.2">
      <c r="L291" s="48" t="str">
        <f>IF(B291&lt;&gt;0,IFERROR(UPPER(VLOOKUP(F291,Clientes!A:B,2,0)),"REGISTRAR CLIENTE"),"")</f>
        <v/>
      </c>
    </row>
    <row r="292" spans="12:12" x14ac:dyDescent="0.2">
      <c r="L292" s="48" t="str">
        <f>IF(B292&lt;&gt;0,IFERROR(UPPER(VLOOKUP(F292,Clientes!A:B,2,0)),"REGISTRAR CLIENTE"),"")</f>
        <v/>
      </c>
    </row>
    <row r="293" spans="12:12" x14ac:dyDescent="0.2">
      <c r="L293" s="48" t="str">
        <f>IF(B293&lt;&gt;0,IFERROR(UPPER(VLOOKUP(F293,Clientes!A:B,2,0)),"REGISTRAR CLIENTE"),"")</f>
        <v/>
      </c>
    </row>
    <row r="294" spans="12:12" x14ac:dyDescent="0.2">
      <c r="L294" s="48" t="str">
        <f>IF(B294&lt;&gt;0,IFERROR(UPPER(VLOOKUP(F294,Clientes!A:B,2,0)),"REGISTRAR CLIENTE"),"")</f>
        <v/>
      </c>
    </row>
    <row r="295" spans="12:12" x14ac:dyDescent="0.2">
      <c r="L295" s="48" t="str">
        <f>IF(B295&lt;&gt;0,IFERROR(UPPER(VLOOKUP(F295,Clientes!A:B,2,0)),"REGISTRAR CLIENTE"),"")</f>
        <v/>
      </c>
    </row>
    <row r="296" spans="12:12" x14ac:dyDescent="0.2">
      <c r="L296" s="48" t="str">
        <f>IF(B296&lt;&gt;0,IFERROR(UPPER(VLOOKUP(F296,Clientes!A:B,2,0)),"REGISTRAR CLIENTE"),"")</f>
        <v/>
      </c>
    </row>
    <row r="297" spans="12:12" x14ac:dyDescent="0.2">
      <c r="L297" s="48" t="str">
        <f>IF(B297&lt;&gt;0,IFERROR(UPPER(VLOOKUP(F297,Clientes!A:B,2,0)),"REGISTRAR CLIENTE"),"")</f>
        <v/>
      </c>
    </row>
    <row r="298" spans="12:12" x14ac:dyDescent="0.2">
      <c r="L298" s="48" t="str">
        <f>IF(B298&lt;&gt;0,IFERROR(UPPER(VLOOKUP(F298,Clientes!A:B,2,0)),"REGISTRAR CLIENTE"),"")</f>
        <v/>
      </c>
    </row>
    <row r="299" spans="12:12" x14ac:dyDescent="0.2">
      <c r="L299" s="48" t="str">
        <f>IF(B299&lt;&gt;0,IFERROR(UPPER(VLOOKUP(F299,Clientes!A:B,2,0)),"REGISTRAR CLIENTE"),"")</f>
        <v/>
      </c>
    </row>
    <row r="300" spans="12:12" x14ac:dyDescent="0.2">
      <c r="L300" s="48" t="str">
        <f>IF(B300&lt;&gt;0,IFERROR(UPPER(VLOOKUP(F300,Clientes!A:B,2,0)),"REGISTRAR CLIENTE"),"")</f>
        <v/>
      </c>
    </row>
    <row r="301" spans="12:12" x14ac:dyDescent="0.2">
      <c r="L301" s="48" t="str">
        <f>IF(B301&lt;&gt;0,IFERROR(UPPER(VLOOKUP(F301,Clientes!A:B,2,0)),"REGISTRAR CLIENTE"),"")</f>
        <v/>
      </c>
    </row>
    <row r="302" spans="12:12" x14ac:dyDescent="0.2">
      <c r="L302" s="48" t="str">
        <f>IF(B302&lt;&gt;0,IFERROR(UPPER(VLOOKUP(F302,Clientes!A:B,2,0)),"REGISTRAR CLIENTE"),"")</f>
        <v/>
      </c>
    </row>
    <row r="303" spans="12:12" x14ac:dyDescent="0.2">
      <c r="L303" s="48" t="str">
        <f>IF(B303&lt;&gt;0,IFERROR(UPPER(VLOOKUP(F303,Clientes!A:B,2,0)),"REGISTRAR CLIENTE"),"")</f>
        <v/>
      </c>
    </row>
    <row r="304" spans="12:12" x14ac:dyDescent="0.2">
      <c r="L304" s="48" t="str">
        <f>IF(B304&lt;&gt;0,IFERROR(UPPER(VLOOKUP(F304,Clientes!A:B,2,0)),"REGISTRAR CLIENTE"),"")</f>
        <v/>
      </c>
    </row>
    <row r="305" spans="12:12" x14ac:dyDescent="0.2">
      <c r="L305" s="48" t="str">
        <f>IF(B305&lt;&gt;0,IFERROR(UPPER(VLOOKUP(F305,Clientes!A:B,2,0)),"REGISTRAR CLIENTE"),"")</f>
        <v/>
      </c>
    </row>
    <row r="306" spans="12:12" x14ac:dyDescent="0.2">
      <c r="L306" s="48" t="str">
        <f>IF(B306&lt;&gt;0,IFERROR(UPPER(VLOOKUP(F306,Clientes!A:B,2,0)),"REGISTRAR CLIENTE"),"")</f>
        <v/>
      </c>
    </row>
    <row r="307" spans="12:12" x14ac:dyDescent="0.2">
      <c r="L307" s="48" t="str">
        <f>IF(B307&lt;&gt;0,IFERROR(UPPER(VLOOKUP(F307,Clientes!A:B,2,0)),"REGISTRAR CLIENTE"),"")</f>
        <v/>
      </c>
    </row>
    <row r="308" spans="12:12" x14ac:dyDescent="0.2">
      <c r="L308" s="48" t="str">
        <f>IF(B308&lt;&gt;0,IFERROR(UPPER(VLOOKUP(F308,Clientes!A:B,2,0)),"REGISTRAR CLIENTE"),"")</f>
        <v/>
      </c>
    </row>
    <row r="309" spans="12:12" x14ac:dyDescent="0.2">
      <c r="L309" s="48" t="str">
        <f>IF(B309&lt;&gt;0,IFERROR(UPPER(VLOOKUP(F309,Clientes!A:B,2,0)),"REGISTRAR CLIENTE"),"")</f>
        <v/>
      </c>
    </row>
    <row r="310" spans="12:12" x14ac:dyDescent="0.2">
      <c r="L310" s="48" t="str">
        <f>IF(B310&lt;&gt;0,IFERROR(UPPER(VLOOKUP(F310,Clientes!A:B,2,0)),"REGISTRAR CLIENTE"),"")</f>
        <v/>
      </c>
    </row>
    <row r="311" spans="12:12" x14ac:dyDescent="0.2">
      <c r="L311" s="48" t="str">
        <f>IF(B311&lt;&gt;0,IFERROR(UPPER(VLOOKUP(F311,Clientes!A:B,2,0)),"REGISTRAR CLIENTE"),"")</f>
        <v/>
      </c>
    </row>
    <row r="312" spans="12:12" x14ac:dyDescent="0.2">
      <c r="L312" s="48" t="str">
        <f>IF(B312&lt;&gt;0,IFERROR(UPPER(VLOOKUP(F312,Clientes!A:B,2,0)),"REGISTRAR CLIENTE"),"")</f>
        <v/>
      </c>
    </row>
    <row r="313" spans="12:12" x14ac:dyDescent="0.2">
      <c r="L313" s="48" t="str">
        <f>IF(B313&lt;&gt;0,IFERROR(UPPER(VLOOKUP(F313,Clientes!A:B,2,0)),"REGISTRAR CLIENTE"),"")</f>
        <v/>
      </c>
    </row>
    <row r="314" spans="12:12" x14ac:dyDescent="0.2">
      <c r="L314" s="48" t="str">
        <f>IF(B314&lt;&gt;0,IFERROR(UPPER(VLOOKUP(F314,Clientes!A:B,2,0)),"REGISTRAR CLIENTE"),"")</f>
        <v/>
      </c>
    </row>
    <row r="315" spans="12:12" x14ac:dyDescent="0.2">
      <c r="L315" s="48" t="str">
        <f>IF(B315&lt;&gt;0,IFERROR(UPPER(VLOOKUP(F315,Clientes!A:B,2,0)),"REGISTRAR CLIENTE"),"")</f>
        <v/>
      </c>
    </row>
    <row r="316" spans="12:12" x14ac:dyDescent="0.2">
      <c r="L316" s="48" t="str">
        <f>IF(B316&lt;&gt;0,IFERROR(UPPER(VLOOKUP(F316,Clientes!A:B,2,0)),"REGISTRAR CLIENTE"),"")</f>
        <v/>
      </c>
    </row>
    <row r="317" spans="12:12" x14ac:dyDescent="0.2">
      <c r="L317" s="48" t="str">
        <f>IF(B317&lt;&gt;0,IFERROR(UPPER(VLOOKUP(F317,Clientes!A:B,2,0)),"REGISTRAR CLIENTE"),"")</f>
        <v/>
      </c>
    </row>
    <row r="318" spans="12:12" x14ac:dyDescent="0.2">
      <c r="L318" s="48" t="str">
        <f>IF(B318&lt;&gt;0,IFERROR(UPPER(VLOOKUP(F318,Clientes!A:B,2,0)),"REGISTRAR CLIENTE"),"")</f>
        <v/>
      </c>
    </row>
    <row r="319" spans="12:12" x14ac:dyDescent="0.2">
      <c r="L319" s="48" t="str">
        <f>IF(B319&lt;&gt;0,IFERROR(UPPER(VLOOKUP(F319,Clientes!A:B,2,0)),"REGISTRAR CLIENTE"),"")</f>
        <v/>
      </c>
    </row>
    <row r="320" spans="12:12" x14ac:dyDescent="0.2">
      <c r="L320" s="48" t="str">
        <f>IF(B320&lt;&gt;0,IFERROR(UPPER(VLOOKUP(F320,Clientes!A:B,2,0)),"REGISTRAR CLIENTE"),"")</f>
        <v/>
      </c>
    </row>
    <row r="321" spans="12:12" x14ac:dyDescent="0.2">
      <c r="L321" s="48" t="str">
        <f>IF(B321&lt;&gt;0,IFERROR(UPPER(VLOOKUP(F321,Clientes!A:B,2,0)),"REGISTRAR CLIENTE"),"")</f>
        <v/>
      </c>
    </row>
    <row r="322" spans="12:12" x14ac:dyDescent="0.2">
      <c r="L322" s="48" t="str">
        <f>IF(B322&lt;&gt;0,IFERROR(UPPER(VLOOKUP(F322,Clientes!A:B,2,0)),"REGISTRAR CLIENTE"),"")</f>
        <v/>
      </c>
    </row>
    <row r="323" spans="12:12" x14ac:dyDescent="0.2">
      <c r="L323" s="48" t="str">
        <f>IF(B323&lt;&gt;0,IFERROR(UPPER(VLOOKUP(F323,Clientes!A:B,2,0)),"REGISTRAR CLIENTE"),"")</f>
        <v/>
      </c>
    </row>
    <row r="324" spans="12:12" x14ac:dyDescent="0.2">
      <c r="L324" s="48" t="str">
        <f>IF(B324&lt;&gt;0,IFERROR(UPPER(VLOOKUP(F324,Clientes!A:B,2,0)),"REGISTRAR CLIENTE"),"")</f>
        <v/>
      </c>
    </row>
    <row r="325" spans="12:12" x14ac:dyDescent="0.2">
      <c r="L325" s="48" t="str">
        <f>IF(B325&lt;&gt;0,IFERROR(UPPER(VLOOKUP(F325,Clientes!A:B,2,0)),"REGISTRAR CLIENTE"),"")</f>
        <v/>
      </c>
    </row>
    <row r="326" spans="12:12" x14ac:dyDescent="0.2">
      <c r="L326" s="48" t="str">
        <f>IF(B326&lt;&gt;0,IFERROR(UPPER(VLOOKUP(F326,Clientes!A:B,2,0)),"REGISTRAR CLIENTE"),"")</f>
        <v/>
      </c>
    </row>
    <row r="327" spans="12:12" x14ac:dyDescent="0.2">
      <c r="L327" s="48" t="str">
        <f>IF(B327&lt;&gt;0,IFERROR(UPPER(VLOOKUP(F327,Clientes!A:B,2,0)),"REGISTRAR CLIENTE"),"")</f>
        <v/>
      </c>
    </row>
    <row r="328" spans="12:12" x14ac:dyDescent="0.2">
      <c r="L328" s="48" t="str">
        <f>IF(B328&lt;&gt;0,IFERROR(UPPER(VLOOKUP(F328,Clientes!A:B,2,0)),"REGISTRAR CLIENTE"),"")</f>
        <v/>
      </c>
    </row>
    <row r="329" spans="12:12" x14ac:dyDescent="0.2">
      <c r="L329" s="48" t="str">
        <f>IF(B329&lt;&gt;0,IFERROR(UPPER(VLOOKUP(F329,Clientes!A:B,2,0)),"REGISTRAR CLIENTE"),"")</f>
        <v/>
      </c>
    </row>
    <row r="330" spans="12:12" x14ac:dyDescent="0.2">
      <c r="L330" s="48" t="str">
        <f>IF(B330&lt;&gt;0,IFERROR(UPPER(VLOOKUP(F330,Clientes!A:B,2,0)),"REGISTRAR CLIENTE"),"")</f>
        <v/>
      </c>
    </row>
    <row r="331" spans="12:12" x14ac:dyDescent="0.2">
      <c r="L331" s="48" t="str">
        <f>IF(B331&lt;&gt;0,IFERROR(UPPER(VLOOKUP(F331,Clientes!A:B,2,0)),"REGISTRAR CLIENTE"),"")</f>
        <v/>
      </c>
    </row>
    <row r="332" spans="12:12" x14ac:dyDescent="0.2">
      <c r="L332" s="48" t="str">
        <f>IF(B332&lt;&gt;0,IFERROR(UPPER(VLOOKUP(F332,Clientes!A:B,2,0)),"REGISTRAR CLIENTE"),"")</f>
        <v/>
      </c>
    </row>
    <row r="333" spans="12:12" x14ac:dyDescent="0.2">
      <c r="L333" s="48" t="str">
        <f>IF(B333&lt;&gt;0,IFERROR(UPPER(VLOOKUP(F333,Clientes!A:B,2,0)),"REGISTRAR CLIENTE"),"")</f>
        <v/>
      </c>
    </row>
    <row r="334" spans="12:12" x14ac:dyDescent="0.2">
      <c r="L334" s="48" t="str">
        <f>IF(B334&lt;&gt;0,IFERROR(UPPER(VLOOKUP(F334,Clientes!A:B,2,0)),"REGISTRAR CLIENTE"),"")</f>
        <v/>
      </c>
    </row>
    <row r="335" spans="12:12" x14ac:dyDescent="0.2">
      <c r="L335" s="48" t="str">
        <f>IF(B335&lt;&gt;0,IFERROR(UPPER(VLOOKUP(F335,Clientes!A:B,2,0)),"REGISTRAR CLIENTE"),"")</f>
        <v/>
      </c>
    </row>
    <row r="336" spans="12:12" x14ac:dyDescent="0.2">
      <c r="L336" s="48" t="str">
        <f>IF(B336&lt;&gt;0,IFERROR(UPPER(VLOOKUP(F336,Clientes!A:B,2,0)),"REGISTRAR CLIENTE"),"")</f>
        <v/>
      </c>
    </row>
    <row r="337" spans="12:12" x14ac:dyDescent="0.2">
      <c r="L337" s="48" t="str">
        <f>IF(B337&lt;&gt;0,IFERROR(UPPER(VLOOKUP(F337,Clientes!A:B,2,0)),"REGISTRAR CLIENTE"),"")</f>
        <v/>
      </c>
    </row>
    <row r="338" spans="12:12" x14ac:dyDescent="0.2">
      <c r="L338" s="48" t="str">
        <f>IF(B338&lt;&gt;0,IFERROR(UPPER(VLOOKUP(F338,Clientes!A:B,2,0)),"REGISTRAR CLIENTE"),"")</f>
        <v/>
      </c>
    </row>
    <row r="339" spans="12:12" x14ac:dyDescent="0.2">
      <c r="L339" s="48" t="str">
        <f>IF(B339&lt;&gt;0,IFERROR(UPPER(VLOOKUP(F339,Clientes!A:B,2,0)),"REGISTRAR CLIENTE"),"")</f>
        <v/>
      </c>
    </row>
    <row r="340" spans="12:12" x14ac:dyDescent="0.2">
      <c r="L340" s="48" t="str">
        <f>IF(B340&lt;&gt;0,IFERROR(UPPER(VLOOKUP(F340,Clientes!A:B,2,0)),"REGISTRAR CLIENTE"),"")</f>
        <v/>
      </c>
    </row>
    <row r="341" spans="12:12" x14ac:dyDescent="0.2">
      <c r="L341" s="48" t="str">
        <f>IF(B341&lt;&gt;0,IFERROR(UPPER(VLOOKUP(F341,Clientes!A:B,2,0)),"REGISTRAR CLIENTE"),"")</f>
        <v/>
      </c>
    </row>
    <row r="342" spans="12:12" x14ac:dyDescent="0.2">
      <c r="L342" s="48" t="str">
        <f>IF(B342&lt;&gt;0,IFERROR(UPPER(VLOOKUP(F342,Clientes!A:B,2,0)),"REGISTRAR CLIENTE"),"")</f>
        <v/>
      </c>
    </row>
    <row r="343" spans="12:12" x14ac:dyDescent="0.2">
      <c r="L343" s="48" t="str">
        <f>IF(B343&lt;&gt;0,IFERROR(UPPER(VLOOKUP(F343,Clientes!A:B,2,0)),"REGISTRAR CLIENTE"),"")</f>
        <v/>
      </c>
    </row>
    <row r="344" spans="12:12" x14ac:dyDescent="0.2">
      <c r="L344" s="48" t="str">
        <f>IF(B344&lt;&gt;0,IFERROR(UPPER(VLOOKUP(F344,Clientes!A:B,2,0)),"REGISTRAR CLIENTE"),"")</f>
        <v/>
      </c>
    </row>
    <row r="345" spans="12:12" x14ac:dyDescent="0.2">
      <c r="L345" s="48" t="str">
        <f>IF(B345&lt;&gt;0,IFERROR(UPPER(VLOOKUP(F345,Clientes!A:B,2,0)),"REGISTRAR CLIENTE"),"")</f>
        <v/>
      </c>
    </row>
    <row r="346" spans="12:12" x14ac:dyDescent="0.2">
      <c r="L346" s="48" t="str">
        <f>IF(B346&lt;&gt;0,IFERROR(UPPER(VLOOKUP(F346,Clientes!A:B,2,0)),"REGISTRAR CLIENTE"),"")</f>
        <v/>
      </c>
    </row>
    <row r="347" spans="12:12" x14ac:dyDescent="0.2">
      <c r="L347" s="48" t="str">
        <f>IF(B347&lt;&gt;0,IFERROR(UPPER(VLOOKUP(F347,Clientes!A:B,2,0)),"REGISTRAR CLIENTE"),"")</f>
        <v/>
      </c>
    </row>
    <row r="348" spans="12:12" x14ac:dyDescent="0.2">
      <c r="L348" s="48" t="str">
        <f>IF(B348&lt;&gt;0,IFERROR(UPPER(VLOOKUP(F348,Clientes!A:B,2,0)),"REGISTRAR CLIENTE"),"")</f>
        <v/>
      </c>
    </row>
    <row r="349" spans="12:12" x14ac:dyDescent="0.2">
      <c r="L349" s="48" t="str">
        <f>IF(B349&lt;&gt;0,IFERROR(UPPER(VLOOKUP(F349,Clientes!A:B,2,0)),"REGISTRAR CLIENTE"),"")</f>
        <v/>
      </c>
    </row>
    <row r="350" spans="12:12" x14ac:dyDescent="0.2">
      <c r="L350" s="48" t="str">
        <f>IF(B350&lt;&gt;0,IFERROR(UPPER(VLOOKUP(F350,Clientes!A:B,2,0)),"REGISTRAR CLIENTE"),"")</f>
        <v/>
      </c>
    </row>
    <row r="351" spans="12:12" x14ac:dyDescent="0.2">
      <c r="L351" s="48" t="str">
        <f>IF(B351&lt;&gt;0,IFERROR(UPPER(VLOOKUP(F351,Clientes!A:B,2,0)),"REGISTRAR CLIENTE"),"")</f>
        <v/>
      </c>
    </row>
    <row r="352" spans="12:12" x14ac:dyDescent="0.2">
      <c r="L352" s="48" t="str">
        <f>IF(B352&lt;&gt;0,IFERROR(UPPER(VLOOKUP(F352,Clientes!A:B,2,0)),"REGISTRAR CLIENTE"),"")</f>
        <v/>
      </c>
    </row>
    <row r="353" spans="12:12" x14ac:dyDescent="0.2">
      <c r="L353" s="48" t="str">
        <f>IF(B353&lt;&gt;0,IFERROR(UPPER(VLOOKUP(F353,Clientes!A:B,2,0)),"REGISTRAR CLIENTE"),"")</f>
        <v/>
      </c>
    </row>
    <row r="354" spans="12:12" x14ac:dyDescent="0.2">
      <c r="L354" s="48" t="str">
        <f>IF(B354&lt;&gt;0,IFERROR(UPPER(VLOOKUP(F354,Clientes!A:B,2,0)),"REGISTRAR CLIENTE"),"")</f>
        <v/>
      </c>
    </row>
    <row r="355" spans="12:12" x14ac:dyDescent="0.2">
      <c r="L355" s="48" t="str">
        <f>IF(B355&lt;&gt;0,IFERROR(UPPER(VLOOKUP(F355,Clientes!A:B,2,0)),"REGISTRAR CLIENTE"),"")</f>
        <v/>
      </c>
    </row>
    <row r="356" spans="12:12" x14ac:dyDescent="0.2">
      <c r="L356" s="48" t="str">
        <f>IF(B356&lt;&gt;0,IFERROR(UPPER(VLOOKUP(F356,Clientes!A:B,2,0)),"REGISTRAR CLIENTE"),"")</f>
        <v/>
      </c>
    </row>
    <row r="357" spans="12:12" x14ac:dyDescent="0.2">
      <c r="L357" s="48" t="str">
        <f>IF(B357&lt;&gt;0,IFERROR(UPPER(VLOOKUP(F357,Clientes!A:B,2,0)),"REGISTRAR CLIENTE"),"")</f>
        <v/>
      </c>
    </row>
    <row r="358" spans="12:12" x14ac:dyDescent="0.2">
      <c r="L358" s="48" t="str">
        <f>IF(B358&lt;&gt;0,IFERROR(UPPER(VLOOKUP(F358,Clientes!A:B,2,0)),"REGISTRAR CLIENTE"),"")</f>
        <v/>
      </c>
    </row>
    <row r="359" spans="12:12" x14ac:dyDescent="0.2">
      <c r="L359" s="48" t="str">
        <f>IF(B359&lt;&gt;0,IFERROR(UPPER(VLOOKUP(F359,Clientes!A:B,2,0)),"REGISTRAR CLIENTE"),"")</f>
        <v/>
      </c>
    </row>
    <row r="360" spans="12:12" x14ac:dyDescent="0.2">
      <c r="L360" s="48" t="str">
        <f>IF(B360&lt;&gt;0,IFERROR(UPPER(VLOOKUP(F360,Clientes!A:B,2,0)),"REGISTRAR CLIENTE"),"")</f>
        <v/>
      </c>
    </row>
    <row r="361" spans="12:12" x14ac:dyDescent="0.2">
      <c r="L361" s="48" t="str">
        <f>IF(B361&lt;&gt;0,IFERROR(UPPER(VLOOKUP(F361,Clientes!A:B,2,0)),"REGISTRAR CLIENTE"),"")</f>
        <v/>
      </c>
    </row>
    <row r="362" spans="12:12" x14ac:dyDescent="0.2">
      <c r="L362" s="48" t="str">
        <f>IF(B362&lt;&gt;0,IFERROR(UPPER(VLOOKUP(F362,Clientes!A:B,2,0)),"REGISTRAR CLIENTE"),"")</f>
        <v/>
      </c>
    </row>
    <row r="363" spans="12:12" x14ac:dyDescent="0.2">
      <c r="L363" s="48" t="str">
        <f>IF(B363&lt;&gt;0,IFERROR(UPPER(VLOOKUP(F363,Clientes!A:B,2,0)),"REGISTRAR CLIENTE"),"")</f>
        <v/>
      </c>
    </row>
    <row r="364" spans="12:12" x14ac:dyDescent="0.2">
      <c r="L364" s="48" t="str">
        <f>IF(B364&lt;&gt;0,IFERROR(UPPER(VLOOKUP(F364,Clientes!A:B,2,0)),"REGISTRAR CLIENTE"),"")</f>
        <v/>
      </c>
    </row>
    <row r="365" spans="12:12" x14ac:dyDescent="0.2">
      <c r="L365" s="48" t="str">
        <f>IF(B365&lt;&gt;0,IFERROR(UPPER(VLOOKUP(F365,Clientes!A:B,2,0)),"REGISTRAR CLIENTE"),"")</f>
        <v/>
      </c>
    </row>
    <row r="366" spans="12:12" x14ac:dyDescent="0.2">
      <c r="L366" s="48" t="str">
        <f>IF(B366&lt;&gt;0,IFERROR(UPPER(VLOOKUP(F366,Clientes!A:B,2,0)),"REGISTRAR CLIENTE"),"")</f>
        <v/>
      </c>
    </row>
    <row r="367" spans="12:12" x14ac:dyDescent="0.2">
      <c r="L367" s="48" t="str">
        <f>IF(B367&lt;&gt;0,IFERROR(UPPER(VLOOKUP(F367,Clientes!A:B,2,0)),"REGISTRAR CLIENTE"),"")</f>
        <v/>
      </c>
    </row>
    <row r="368" spans="12:12" x14ac:dyDescent="0.2">
      <c r="L368" s="48" t="str">
        <f>IF(B368&lt;&gt;0,IFERROR(UPPER(VLOOKUP(F368,Clientes!A:B,2,0)),"REGISTRAR CLIENTE"),"")</f>
        <v/>
      </c>
    </row>
    <row r="369" spans="12:12" x14ac:dyDescent="0.2">
      <c r="L369" s="48" t="str">
        <f>IF(B369&lt;&gt;0,IFERROR(UPPER(VLOOKUP(F369,Clientes!A:B,2,0)),"REGISTRAR CLIENTE"),"")</f>
        <v/>
      </c>
    </row>
    <row r="370" spans="12:12" x14ac:dyDescent="0.2">
      <c r="L370" s="48" t="str">
        <f>IF(B370&lt;&gt;0,IFERROR(UPPER(VLOOKUP(F370,Clientes!A:B,2,0)),"REGISTRAR CLIENTE"),"")</f>
        <v/>
      </c>
    </row>
    <row r="371" spans="12:12" x14ac:dyDescent="0.2">
      <c r="L371" s="48" t="str">
        <f>IF(B371&lt;&gt;0,IFERROR(UPPER(VLOOKUP(F371,Clientes!A:B,2,0)),"REGISTRAR CLIENTE"),"")</f>
        <v/>
      </c>
    </row>
    <row r="372" spans="12:12" x14ac:dyDescent="0.2">
      <c r="L372" s="48" t="str">
        <f>IF(B372&lt;&gt;0,IFERROR(UPPER(VLOOKUP(F372,Clientes!A:B,2,0)),"REGISTRAR CLIENTE"),"")</f>
        <v/>
      </c>
    </row>
    <row r="373" spans="12:12" x14ac:dyDescent="0.2">
      <c r="L373" s="48" t="str">
        <f>IF(B373&lt;&gt;0,IFERROR(UPPER(VLOOKUP(F373,Clientes!A:B,2,0)),"REGISTRAR CLIENTE"),"")</f>
        <v/>
      </c>
    </row>
    <row r="374" spans="12:12" x14ac:dyDescent="0.2">
      <c r="L374" s="48" t="str">
        <f>IF(B374&lt;&gt;0,IFERROR(UPPER(VLOOKUP(F374,Clientes!A:B,2,0)),"REGISTRAR CLIENTE"),"")</f>
        <v/>
      </c>
    </row>
    <row r="375" spans="12:12" x14ac:dyDescent="0.2">
      <c r="L375" s="48" t="str">
        <f>IF(B375&lt;&gt;0,IFERROR(UPPER(VLOOKUP(F375,Clientes!A:B,2,0)),"REGISTRAR CLIENTE"),"")</f>
        <v/>
      </c>
    </row>
    <row r="376" spans="12:12" x14ac:dyDescent="0.2">
      <c r="L376" s="48" t="str">
        <f>IF(B376&lt;&gt;0,IFERROR(UPPER(VLOOKUP(F376,Clientes!A:B,2,0)),"REGISTRAR CLIENTE"),"")</f>
        <v/>
      </c>
    </row>
    <row r="377" spans="12:12" x14ac:dyDescent="0.2">
      <c r="L377" s="48" t="str">
        <f>IF(B377&lt;&gt;0,IFERROR(UPPER(VLOOKUP(F377,Clientes!A:B,2,0)),"REGISTRAR CLIENTE"),"")</f>
        <v/>
      </c>
    </row>
    <row r="378" spans="12:12" x14ac:dyDescent="0.2">
      <c r="L378" s="48" t="str">
        <f>IF(B378&lt;&gt;0,IFERROR(UPPER(VLOOKUP(F378,Clientes!A:B,2,0)),"REGISTRAR CLIENTE"),"")</f>
        <v/>
      </c>
    </row>
    <row r="379" spans="12:12" x14ac:dyDescent="0.2">
      <c r="L379" s="48" t="str">
        <f>IF(B379&lt;&gt;0,IFERROR(UPPER(VLOOKUP(F379,Clientes!A:B,2,0)),"REGISTRAR CLIENTE"),"")</f>
        <v/>
      </c>
    </row>
    <row r="380" spans="12:12" x14ac:dyDescent="0.2">
      <c r="L380" s="48" t="str">
        <f>IF(B380&lt;&gt;0,IFERROR(UPPER(VLOOKUP(F380,Clientes!A:B,2,0)),"REGISTRAR CLIENTE"),"")</f>
        <v/>
      </c>
    </row>
    <row r="381" spans="12:12" x14ac:dyDescent="0.2">
      <c r="L381" s="48" t="str">
        <f>IF(B381&lt;&gt;0,IFERROR(UPPER(VLOOKUP(F381,Clientes!A:B,2,0)),"REGISTRAR CLIENTE"),"")</f>
        <v/>
      </c>
    </row>
    <row r="382" spans="12:12" x14ac:dyDescent="0.2">
      <c r="L382" s="48" t="str">
        <f>IF(B382&lt;&gt;0,IFERROR(UPPER(VLOOKUP(F382,Clientes!A:B,2,0)),"REGISTRAR CLIENTE"),"")</f>
        <v/>
      </c>
    </row>
    <row r="383" spans="12:12" x14ac:dyDescent="0.2">
      <c r="L383" s="48" t="str">
        <f>IF(B383&lt;&gt;0,IFERROR(UPPER(VLOOKUP(F383,Clientes!A:B,2,0)),"REGISTRAR CLIENTE"),"")</f>
        <v/>
      </c>
    </row>
    <row r="384" spans="12:12" x14ac:dyDescent="0.2">
      <c r="L384" s="48" t="str">
        <f>IF(B384&lt;&gt;0,IFERROR(UPPER(VLOOKUP(F384,Clientes!A:B,2,0)),"REGISTRAR CLIENTE"),"")</f>
        <v/>
      </c>
    </row>
    <row r="385" spans="12:12" x14ac:dyDescent="0.2">
      <c r="L385" s="48" t="str">
        <f>IF(B385&lt;&gt;0,IFERROR(UPPER(VLOOKUP(F385,Clientes!A:B,2,0)),"REGISTRAR CLIENTE"),"")</f>
        <v/>
      </c>
    </row>
    <row r="386" spans="12:12" x14ac:dyDescent="0.2">
      <c r="L386" s="48" t="str">
        <f>IF(B386&lt;&gt;0,IFERROR(UPPER(VLOOKUP(F386,Clientes!A:B,2,0)),"REGISTRAR CLIENTE"),"")</f>
        <v/>
      </c>
    </row>
    <row r="387" spans="12:12" x14ac:dyDescent="0.2">
      <c r="L387" s="48" t="str">
        <f>IF(B387&lt;&gt;0,IFERROR(UPPER(VLOOKUP(F387,Clientes!A:B,2,0)),"REGISTRAR CLIENTE"),"")</f>
        <v/>
      </c>
    </row>
    <row r="388" spans="12:12" x14ac:dyDescent="0.2">
      <c r="L388" s="48" t="str">
        <f>IF(B388&lt;&gt;0,IFERROR(UPPER(VLOOKUP(F388,Clientes!A:B,2,0)),"REGISTRAR CLIENTE"),"")</f>
        <v/>
      </c>
    </row>
    <row r="389" spans="12:12" x14ac:dyDescent="0.2">
      <c r="L389" s="48" t="str">
        <f>IF(B389&lt;&gt;0,IFERROR(UPPER(VLOOKUP(F389,Clientes!A:B,2,0)),"REGISTRAR CLIENTE"),"")</f>
        <v/>
      </c>
    </row>
    <row r="390" spans="12:12" x14ac:dyDescent="0.2">
      <c r="L390" s="48" t="str">
        <f>IF(B390&lt;&gt;0,IFERROR(UPPER(VLOOKUP(F390,Clientes!A:B,2,0)),"REGISTRAR CLIENTE"),"")</f>
        <v/>
      </c>
    </row>
    <row r="391" spans="12:12" x14ac:dyDescent="0.2">
      <c r="L391" s="48" t="str">
        <f>IF(B391&lt;&gt;0,IFERROR(UPPER(VLOOKUP(F391,Clientes!A:B,2,0)),"REGISTRAR CLIENTE"),"")</f>
        <v/>
      </c>
    </row>
    <row r="392" spans="12:12" x14ac:dyDescent="0.2">
      <c r="L392" s="48" t="str">
        <f>IF(B392&lt;&gt;0,IFERROR(UPPER(VLOOKUP(F392,Clientes!A:B,2,0)),"REGISTRAR CLIENTE"),"")</f>
        <v/>
      </c>
    </row>
    <row r="393" spans="12:12" x14ac:dyDescent="0.2">
      <c r="L393" s="48" t="str">
        <f>IF(B393&lt;&gt;0,IFERROR(UPPER(VLOOKUP(F393,Clientes!A:B,2,0)),"REGISTRAR CLIENTE"),"")</f>
        <v/>
      </c>
    </row>
    <row r="394" spans="12:12" x14ac:dyDescent="0.2">
      <c r="L394" s="48" t="str">
        <f>IF(B394&lt;&gt;0,IFERROR(UPPER(VLOOKUP(F394,Clientes!A:B,2,0)),"REGISTRAR CLIENTE"),"")</f>
        <v/>
      </c>
    </row>
    <row r="395" spans="12:12" x14ac:dyDescent="0.2">
      <c r="L395" s="48" t="str">
        <f>IF(B395&lt;&gt;0,IFERROR(UPPER(VLOOKUP(F395,Clientes!A:B,2,0)),"REGISTRAR CLIENTE"),"")</f>
        <v/>
      </c>
    </row>
    <row r="396" spans="12:12" x14ac:dyDescent="0.2">
      <c r="L396" s="48" t="str">
        <f>IF(B396&lt;&gt;0,IFERROR(UPPER(VLOOKUP(F396,Clientes!A:B,2,0)),"REGISTRAR CLIENTE"),"")</f>
        <v/>
      </c>
    </row>
    <row r="397" spans="12:12" x14ac:dyDescent="0.2">
      <c r="L397" s="48" t="str">
        <f>IF(B397&lt;&gt;0,IFERROR(UPPER(VLOOKUP(F397,Clientes!A:B,2,0)),"REGISTRAR CLIENTE"),"")</f>
        <v/>
      </c>
    </row>
    <row r="398" spans="12:12" x14ac:dyDescent="0.2">
      <c r="L398" s="48" t="str">
        <f>IF(B398&lt;&gt;0,IFERROR(UPPER(VLOOKUP(F398,Clientes!A:B,2,0)),"REGISTRAR CLIENTE"),"")</f>
        <v/>
      </c>
    </row>
    <row r="399" spans="12:12" x14ac:dyDescent="0.2">
      <c r="L399" s="48" t="str">
        <f>IF(B399&lt;&gt;0,IFERROR(UPPER(VLOOKUP(F399,Clientes!A:B,2,0)),"REGISTRAR CLIENTE"),"")</f>
        <v/>
      </c>
    </row>
    <row r="400" spans="12:12" x14ac:dyDescent="0.2">
      <c r="L400" s="48" t="str">
        <f>IF(B400&lt;&gt;0,IFERROR(UPPER(VLOOKUP(F400,Clientes!A:B,2,0)),"REGISTRAR CLIENTE"),"")</f>
        <v/>
      </c>
    </row>
    <row r="401" spans="12:12" x14ac:dyDescent="0.2">
      <c r="L401" s="48" t="str">
        <f>IF(B401&lt;&gt;0,IFERROR(UPPER(VLOOKUP(F401,Clientes!A:B,2,0)),"REGISTRAR CLIENTE"),"")</f>
        <v/>
      </c>
    </row>
    <row r="402" spans="12:12" x14ac:dyDescent="0.2">
      <c r="L402" s="48" t="str">
        <f>IF(B402&lt;&gt;0,IFERROR(UPPER(VLOOKUP(F402,Clientes!A:B,2,0)),"REGISTRAR CLIENTE"),"")</f>
        <v/>
      </c>
    </row>
    <row r="403" spans="12:12" x14ac:dyDescent="0.2">
      <c r="L403" s="48" t="str">
        <f>IF(B403&lt;&gt;0,IFERROR(UPPER(VLOOKUP(F403,Clientes!A:B,2,0)),"REGISTRAR CLIENTE"),"")</f>
        <v/>
      </c>
    </row>
    <row r="404" spans="12:12" x14ac:dyDescent="0.2">
      <c r="L404" s="48" t="str">
        <f>IF(B404&lt;&gt;0,IFERROR(UPPER(VLOOKUP(F404,Clientes!A:B,2,0)),"REGISTRAR CLIENTE"),"")</f>
        <v/>
      </c>
    </row>
    <row r="405" spans="12:12" x14ac:dyDescent="0.2">
      <c r="L405" s="48" t="str">
        <f>IF(B405&lt;&gt;0,IFERROR(UPPER(VLOOKUP(F405,Clientes!A:B,2,0)),"REGISTRAR CLIENTE"),"")</f>
        <v/>
      </c>
    </row>
    <row r="406" spans="12:12" x14ac:dyDescent="0.2">
      <c r="L406" s="48" t="str">
        <f>IF(B406&lt;&gt;0,IFERROR(UPPER(VLOOKUP(F406,Clientes!A:B,2,0)),"REGISTRAR CLIENTE"),"")</f>
        <v/>
      </c>
    </row>
    <row r="407" spans="12:12" x14ac:dyDescent="0.2">
      <c r="L407" s="48" t="str">
        <f>IF(B407&lt;&gt;0,IFERROR(UPPER(VLOOKUP(F407,Clientes!A:B,2,0)),"REGISTRAR CLIENTE"),"")</f>
        <v/>
      </c>
    </row>
    <row r="408" spans="12:12" x14ac:dyDescent="0.2">
      <c r="L408" s="48" t="str">
        <f>IF(B408&lt;&gt;0,IFERROR(UPPER(VLOOKUP(F408,Clientes!A:B,2,0)),"REGISTRAR CLIENTE"),"")</f>
        <v/>
      </c>
    </row>
    <row r="409" spans="12:12" x14ac:dyDescent="0.2">
      <c r="L409" s="48" t="str">
        <f>IF(B409&lt;&gt;0,IFERROR(UPPER(VLOOKUP(F409,Clientes!A:B,2,0)),"REGISTRAR CLIENTE"),"")</f>
        <v/>
      </c>
    </row>
    <row r="410" spans="12:12" x14ac:dyDescent="0.2">
      <c r="L410" s="48" t="str">
        <f>IF(B410&lt;&gt;0,IFERROR(UPPER(VLOOKUP(F410,Clientes!A:B,2,0)),"REGISTRAR CLIENTE"),"")</f>
        <v/>
      </c>
    </row>
    <row r="411" spans="12:12" x14ac:dyDescent="0.2">
      <c r="L411" s="48" t="str">
        <f>IF(B411&lt;&gt;0,IFERROR(UPPER(VLOOKUP(F411,Clientes!A:B,2,0)),"REGISTRAR CLIENTE"),"")</f>
        <v/>
      </c>
    </row>
    <row r="412" spans="12:12" x14ac:dyDescent="0.2">
      <c r="L412" s="48" t="str">
        <f>IF(B412&lt;&gt;0,IFERROR(UPPER(VLOOKUP(F412,Clientes!A:B,2,0)),"REGISTRAR CLIENTE"),"")</f>
        <v/>
      </c>
    </row>
    <row r="413" spans="12:12" x14ac:dyDescent="0.2">
      <c r="L413" s="48" t="str">
        <f>IF(B413&lt;&gt;0,IFERROR(UPPER(VLOOKUP(F413,Clientes!A:B,2,0)),"REGISTRAR CLIENTE"),"")</f>
        <v/>
      </c>
    </row>
    <row r="414" spans="12:12" x14ac:dyDescent="0.2">
      <c r="L414" s="48" t="str">
        <f>IF(B414&lt;&gt;0,IFERROR(UPPER(VLOOKUP(F414,Clientes!A:B,2,0)),"REGISTRAR CLIENTE"),"")</f>
        <v/>
      </c>
    </row>
    <row r="415" spans="12:12" x14ac:dyDescent="0.2">
      <c r="L415" s="48" t="str">
        <f>IF(B415&lt;&gt;0,IFERROR(UPPER(VLOOKUP(F415,Clientes!A:B,2,0)),"REGISTRAR CLIENTE"),"")</f>
        <v/>
      </c>
    </row>
    <row r="416" spans="12:12" x14ac:dyDescent="0.2">
      <c r="L416" s="48" t="str">
        <f>IF(B416&lt;&gt;0,IFERROR(UPPER(VLOOKUP(F416,Clientes!A:B,2,0)),"REGISTRAR CLIENTE"),"")</f>
        <v/>
      </c>
    </row>
    <row r="417" spans="12:12" x14ac:dyDescent="0.2">
      <c r="L417" s="48" t="str">
        <f>IF(B417&lt;&gt;0,IFERROR(UPPER(VLOOKUP(F417,Clientes!A:B,2,0)),"REGISTRAR CLIENTE"),"")</f>
        <v/>
      </c>
    </row>
    <row r="418" spans="12:12" x14ac:dyDescent="0.2">
      <c r="L418" s="48" t="str">
        <f>IF(B418&lt;&gt;0,IFERROR(UPPER(VLOOKUP(F418,Clientes!A:B,2,0)),"REGISTRAR CLIENTE"),"")</f>
        <v/>
      </c>
    </row>
    <row r="419" spans="12:12" x14ac:dyDescent="0.2">
      <c r="L419" s="48" t="str">
        <f>IF(B419&lt;&gt;0,IFERROR(UPPER(VLOOKUP(F419,Clientes!A:B,2,0)),"REGISTRAR CLIENTE"),"")</f>
        <v/>
      </c>
    </row>
    <row r="420" spans="12:12" x14ac:dyDescent="0.2">
      <c r="L420" s="48" t="str">
        <f>IF(B420&lt;&gt;0,IFERROR(UPPER(VLOOKUP(F420,Clientes!A:B,2,0)),"REGISTRAR CLIENTE"),"")</f>
        <v/>
      </c>
    </row>
    <row r="421" spans="12:12" x14ac:dyDescent="0.2">
      <c r="L421" s="48" t="str">
        <f>IF(B421&lt;&gt;0,IFERROR(UPPER(VLOOKUP(F421,Clientes!A:B,2,0)),"REGISTRAR CLIENTE"),"")</f>
        <v/>
      </c>
    </row>
    <row r="422" spans="12:12" x14ac:dyDescent="0.2">
      <c r="L422" s="48" t="str">
        <f>IF(B422&lt;&gt;0,IFERROR(UPPER(VLOOKUP(F422,Clientes!A:B,2,0)),"REGISTRAR CLIENTE"),"")</f>
        <v/>
      </c>
    </row>
    <row r="423" spans="12:12" x14ac:dyDescent="0.2">
      <c r="L423" s="48" t="str">
        <f>IF(B423&lt;&gt;0,IFERROR(UPPER(VLOOKUP(F423,Clientes!A:B,2,0)),"REGISTRAR CLIENTE"),"")</f>
        <v/>
      </c>
    </row>
    <row r="424" spans="12:12" x14ac:dyDescent="0.2">
      <c r="L424" s="48" t="str">
        <f>IF(B424&lt;&gt;0,IFERROR(UPPER(VLOOKUP(F424,Clientes!A:B,2,0)),"REGISTRAR CLIENTE"),"")</f>
        <v/>
      </c>
    </row>
    <row r="425" spans="12:12" x14ac:dyDescent="0.2">
      <c r="L425" s="48" t="str">
        <f>IF(B425&lt;&gt;0,IFERROR(UPPER(VLOOKUP(F425,Clientes!A:B,2,0)),"REGISTRAR CLIENTE"),"")</f>
        <v/>
      </c>
    </row>
    <row r="426" spans="12:12" x14ac:dyDescent="0.2">
      <c r="L426" s="48" t="str">
        <f>IF(B426&lt;&gt;0,IFERROR(UPPER(VLOOKUP(F426,Clientes!A:B,2,0)),"REGISTRAR CLIENTE"),"")</f>
        <v/>
      </c>
    </row>
    <row r="427" spans="12:12" x14ac:dyDescent="0.2">
      <c r="L427" s="48" t="str">
        <f>IF(B427&lt;&gt;0,IFERROR(UPPER(VLOOKUP(F427,Clientes!A:B,2,0)),"REGISTRAR CLIENTE"),"")</f>
        <v/>
      </c>
    </row>
    <row r="428" spans="12:12" x14ac:dyDescent="0.2">
      <c r="L428" s="48" t="str">
        <f>IF(B428&lt;&gt;0,IFERROR(UPPER(VLOOKUP(F428,Clientes!A:B,2,0)),"REGISTRAR CLIENTE"),"")</f>
        <v/>
      </c>
    </row>
    <row r="429" spans="12:12" x14ac:dyDescent="0.2">
      <c r="L429" s="48" t="str">
        <f>IF(B429&lt;&gt;0,IFERROR(UPPER(VLOOKUP(F429,Clientes!A:B,2,0)),"REGISTRAR CLIENTE"),"")</f>
        <v/>
      </c>
    </row>
    <row r="430" spans="12:12" x14ac:dyDescent="0.2">
      <c r="L430" s="48" t="str">
        <f>IF(B430&lt;&gt;0,IFERROR(UPPER(VLOOKUP(F430,Clientes!A:B,2,0)),"REGISTRAR CLIENTE"),"")</f>
        <v/>
      </c>
    </row>
    <row r="431" spans="12:12" x14ac:dyDescent="0.2">
      <c r="L431" s="48" t="str">
        <f>IF(B431&lt;&gt;0,IFERROR(UPPER(VLOOKUP(F431,Clientes!A:B,2,0)),"REGISTRAR CLIENTE"),"")</f>
        <v/>
      </c>
    </row>
    <row r="432" spans="12:12" x14ac:dyDescent="0.2">
      <c r="L432" s="48" t="str">
        <f>IF(B432&lt;&gt;0,IFERROR(UPPER(VLOOKUP(F432,Clientes!A:B,2,0)),"REGISTRAR CLIENTE"),"")</f>
        <v/>
      </c>
    </row>
    <row r="433" spans="12:12" x14ac:dyDescent="0.2">
      <c r="L433" s="48" t="str">
        <f>IF(B433&lt;&gt;0,IFERROR(UPPER(VLOOKUP(F433,Clientes!A:B,2,0)),"REGISTRAR CLIENTE"),"")</f>
        <v/>
      </c>
    </row>
    <row r="434" spans="12:12" x14ac:dyDescent="0.2">
      <c r="L434" s="48" t="str">
        <f>IF(B434&lt;&gt;0,IFERROR(UPPER(VLOOKUP(F434,Clientes!A:B,2,0)),"REGISTRAR CLIENTE"),"")</f>
        <v/>
      </c>
    </row>
    <row r="435" spans="12:12" x14ac:dyDescent="0.2">
      <c r="L435" s="48" t="str">
        <f>IF(B435&lt;&gt;0,IFERROR(UPPER(VLOOKUP(F435,Clientes!A:B,2,0)),"REGISTRAR CLIENTE"),"")</f>
        <v/>
      </c>
    </row>
    <row r="436" spans="12:12" x14ac:dyDescent="0.2">
      <c r="L436" s="48" t="str">
        <f>IF(B436&lt;&gt;0,IFERROR(UPPER(VLOOKUP(F436,Clientes!A:B,2,0)),"REGISTRAR CLIENTE"),"")</f>
        <v/>
      </c>
    </row>
    <row r="437" spans="12:12" x14ac:dyDescent="0.2">
      <c r="L437" s="48" t="str">
        <f>IF(B437&lt;&gt;0,IFERROR(UPPER(VLOOKUP(F437,Clientes!A:B,2,0)),"REGISTRAR CLIENTE"),"")</f>
        <v/>
      </c>
    </row>
    <row r="438" spans="12:12" x14ac:dyDescent="0.2">
      <c r="L438" s="48" t="str">
        <f>IF(B438&lt;&gt;0,IFERROR(UPPER(VLOOKUP(F438,Clientes!A:B,2,0)),"REGISTRAR CLIENTE"),"")</f>
        <v/>
      </c>
    </row>
    <row r="439" spans="12:12" x14ac:dyDescent="0.2">
      <c r="L439" s="48" t="str">
        <f>IF(B439&lt;&gt;0,IFERROR(UPPER(VLOOKUP(F439,Clientes!A:B,2,0)),"REGISTRAR CLIENTE"),"")</f>
        <v/>
      </c>
    </row>
    <row r="440" spans="12:12" x14ac:dyDescent="0.2">
      <c r="L440" s="48" t="str">
        <f>IF(B440&lt;&gt;0,IFERROR(UPPER(VLOOKUP(F440,Clientes!A:B,2,0)),"REGISTRAR CLIENTE"),"")</f>
        <v/>
      </c>
    </row>
    <row r="441" spans="12:12" x14ac:dyDescent="0.2">
      <c r="L441" s="48" t="str">
        <f>IF(B441&lt;&gt;0,IFERROR(UPPER(VLOOKUP(F441,Clientes!A:B,2,0)),"REGISTRAR CLIENTE"),"")</f>
        <v/>
      </c>
    </row>
    <row r="442" spans="12:12" x14ac:dyDescent="0.2">
      <c r="L442" s="48" t="str">
        <f>IF(B442&lt;&gt;0,IFERROR(UPPER(VLOOKUP(F442,Clientes!A:B,2,0)),"REGISTRAR CLIENTE"),"")</f>
        <v/>
      </c>
    </row>
    <row r="443" spans="12:12" x14ac:dyDescent="0.2">
      <c r="L443" s="48" t="str">
        <f>IF(B443&lt;&gt;0,IFERROR(UPPER(VLOOKUP(F443,Clientes!A:B,2,0)),"REGISTRAR CLIENTE"),"")</f>
        <v/>
      </c>
    </row>
    <row r="444" spans="12:12" x14ac:dyDescent="0.2">
      <c r="L444" s="48" t="str">
        <f>IF(B444&lt;&gt;0,IFERROR(UPPER(VLOOKUP(F444,Clientes!A:B,2,0)),"REGISTRAR CLIENTE"),"")</f>
        <v/>
      </c>
    </row>
    <row r="445" spans="12:12" x14ac:dyDescent="0.2">
      <c r="L445" s="48" t="str">
        <f>IF(B445&lt;&gt;0,IFERROR(UPPER(VLOOKUP(F445,Clientes!A:B,2,0)),"REGISTRAR CLIENTE"),"")</f>
        <v/>
      </c>
    </row>
    <row r="446" spans="12:12" x14ac:dyDescent="0.2">
      <c r="L446" s="48" t="str">
        <f>IF(B446&lt;&gt;0,IFERROR(UPPER(VLOOKUP(F446,Clientes!A:B,2,0)),"REGISTRAR CLIENTE"),"")</f>
        <v/>
      </c>
    </row>
    <row r="447" spans="12:12" x14ac:dyDescent="0.2">
      <c r="L447" s="48" t="str">
        <f>IF(B447&lt;&gt;0,IFERROR(UPPER(VLOOKUP(F447,Clientes!A:B,2,0)),"REGISTRAR CLIENTE"),"")</f>
        <v/>
      </c>
    </row>
    <row r="448" spans="12:12" x14ac:dyDescent="0.2">
      <c r="L448" s="48" t="str">
        <f>IF(B448&lt;&gt;0,IFERROR(UPPER(VLOOKUP(F448,Clientes!A:B,2,0)),"REGISTRAR CLIENTE"),"")</f>
        <v/>
      </c>
    </row>
    <row r="449" spans="12:12" x14ac:dyDescent="0.2">
      <c r="L449" s="48" t="str">
        <f>IF(B449&lt;&gt;0,IFERROR(UPPER(VLOOKUP(F449,Clientes!A:B,2,0)),"REGISTRAR CLIENTE"),"")</f>
        <v/>
      </c>
    </row>
    <row r="450" spans="12:12" x14ac:dyDescent="0.2">
      <c r="L450" s="48" t="str">
        <f>IF(B450&lt;&gt;0,IFERROR(UPPER(VLOOKUP(F450,Clientes!A:B,2,0)),"REGISTRAR CLIENTE"),"")</f>
        <v/>
      </c>
    </row>
    <row r="451" spans="12:12" x14ac:dyDescent="0.2">
      <c r="L451" s="48" t="str">
        <f>IF(B451&lt;&gt;0,IFERROR(UPPER(VLOOKUP(F451,Clientes!A:B,2,0)),"REGISTRAR CLIENTE"),"")</f>
        <v/>
      </c>
    </row>
    <row r="452" spans="12:12" x14ac:dyDescent="0.2">
      <c r="L452" s="48" t="str">
        <f>IF(B452&lt;&gt;0,IFERROR(UPPER(VLOOKUP(F452,Clientes!A:B,2,0)),"REGISTRAR CLIENTE"),"")</f>
        <v/>
      </c>
    </row>
    <row r="453" spans="12:12" x14ac:dyDescent="0.2">
      <c r="L453" s="48" t="str">
        <f>IF(B453&lt;&gt;0,IFERROR(UPPER(VLOOKUP(F453,Clientes!A:B,2,0)),"REGISTRAR CLIENTE"),"")</f>
        <v/>
      </c>
    </row>
    <row r="454" spans="12:12" x14ac:dyDescent="0.2">
      <c r="L454" s="48" t="str">
        <f>IF(B454&lt;&gt;0,IFERROR(UPPER(VLOOKUP(F454,Clientes!A:B,2,0)),"REGISTRAR CLIENTE"),"")</f>
        <v/>
      </c>
    </row>
    <row r="455" spans="12:12" x14ac:dyDescent="0.2">
      <c r="L455" s="48" t="str">
        <f>IF(B455&lt;&gt;0,IFERROR(UPPER(VLOOKUP(F455,Clientes!A:B,2,0)),"REGISTRAR CLIENTE"),"")</f>
        <v/>
      </c>
    </row>
    <row r="456" spans="12:12" x14ac:dyDescent="0.2">
      <c r="L456" s="48" t="str">
        <f>IF(B456&lt;&gt;0,IFERROR(UPPER(VLOOKUP(F456,Clientes!A:B,2,0)),"REGISTRAR CLIENTE"),"")</f>
        <v/>
      </c>
    </row>
    <row r="457" spans="12:12" x14ac:dyDescent="0.2">
      <c r="L457" s="48" t="str">
        <f>IF(B457&lt;&gt;0,IFERROR(UPPER(VLOOKUP(F457,Clientes!A:B,2,0)),"REGISTRAR CLIENTE"),"")</f>
        <v/>
      </c>
    </row>
    <row r="458" spans="12:12" x14ac:dyDescent="0.2">
      <c r="L458" s="48" t="str">
        <f>IF(B458&lt;&gt;0,IFERROR(UPPER(VLOOKUP(F458,Clientes!A:B,2,0)),"REGISTRAR CLIENTE"),"")</f>
        <v/>
      </c>
    </row>
    <row r="459" spans="12:12" x14ac:dyDescent="0.2">
      <c r="L459" s="48" t="str">
        <f>IF(B459&lt;&gt;0,IFERROR(UPPER(VLOOKUP(F459,Clientes!A:B,2,0)),"REGISTRAR CLIENTE"),"")</f>
        <v/>
      </c>
    </row>
    <row r="460" spans="12:12" x14ac:dyDescent="0.2">
      <c r="L460" s="48" t="str">
        <f>IF(B460&lt;&gt;0,IFERROR(UPPER(VLOOKUP(F460,Clientes!A:B,2,0)),"REGISTRAR CLIENTE"),"")</f>
        <v/>
      </c>
    </row>
    <row r="461" spans="12:12" x14ac:dyDescent="0.2">
      <c r="L461" s="48" t="str">
        <f>IF(B461&lt;&gt;0,IFERROR(UPPER(VLOOKUP(F461,Clientes!A:B,2,0)),"REGISTRAR CLIENTE"),"")</f>
        <v/>
      </c>
    </row>
    <row r="462" spans="12:12" x14ac:dyDescent="0.2">
      <c r="L462" s="48" t="str">
        <f>IF(B462&lt;&gt;0,IFERROR(UPPER(VLOOKUP(F462,Clientes!A:B,2,0)),"REGISTRAR CLIENTE"),"")</f>
        <v/>
      </c>
    </row>
    <row r="463" spans="12:12" x14ac:dyDescent="0.2">
      <c r="L463" s="48" t="str">
        <f>IF(B463&lt;&gt;0,IFERROR(UPPER(VLOOKUP(F463,Clientes!A:B,2,0)),"REGISTRAR CLIENTE"),"")</f>
        <v/>
      </c>
    </row>
    <row r="464" spans="12:12" x14ac:dyDescent="0.2">
      <c r="L464" s="48" t="str">
        <f>IF(B464&lt;&gt;0,IFERROR(UPPER(VLOOKUP(F464,Clientes!A:B,2,0)),"REGISTRAR CLIENTE"),"")</f>
        <v/>
      </c>
    </row>
    <row r="465" spans="12:12" x14ac:dyDescent="0.2">
      <c r="L465" s="48" t="str">
        <f>IF(B465&lt;&gt;0,IFERROR(UPPER(VLOOKUP(F465,Clientes!A:B,2,0)),"REGISTRAR CLIENTE"),"")</f>
        <v/>
      </c>
    </row>
    <row r="466" spans="12:12" x14ac:dyDescent="0.2">
      <c r="L466" s="48" t="str">
        <f>IF(B466&lt;&gt;0,IFERROR(UPPER(VLOOKUP(F466,Clientes!A:B,2,0)),"REGISTRAR CLIENTE"),"")</f>
        <v/>
      </c>
    </row>
    <row r="467" spans="12:12" x14ac:dyDescent="0.2">
      <c r="L467" s="48" t="str">
        <f>IF(B467&lt;&gt;0,IFERROR(UPPER(VLOOKUP(F467,Clientes!A:B,2,0)),"REGISTRAR CLIENTE"),"")</f>
        <v/>
      </c>
    </row>
    <row r="468" spans="12:12" x14ac:dyDescent="0.2">
      <c r="L468" s="48" t="str">
        <f>IF(B468&lt;&gt;0,IFERROR(UPPER(VLOOKUP(F468,Clientes!A:B,2,0)),"REGISTRAR CLIENTE"),"")</f>
        <v/>
      </c>
    </row>
    <row r="469" spans="12:12" x14ac:dyDescent="0.2">
      <c r="L469" s="48" t="str">
        <f>IF(B469&lt;&gt;0,IFERROR(UPPER(VLOOKUP(F469,Clientes!A:B,2,0)),"REGISTRAR CLIENTE"),"")</f>
        <v/>
      </c>
    </row>
    <row r="470" spans="12:12" x14ac:dyDescent="0.2">
      <c r="L470" s="48" t="str">
        <f>IF(B470&lt;&gt;0,IFERROR(UPPER(VLOOKUP(F470,Clientes!A:B,2,0)),"REGISTRAR CLIENTE"),"")</f>
        <v/>
      </c>
    </row>
    <row r="471" spans="12:12" x14ac:dyDescent="0.2">
      <c r="L471" s="48" t="str">
        <f>IF(B471&lt;&gt;0,IFERROR(UPPER(VLOOKUP(F471,Clientes!A:B,2,0)),"REGISTRAR CLIENTE"),"")</f>
        <v/>
      </c>
    </row>
    <row r="472" spans="12:12" x14ac:dyDescent="0.2">
      <c r="L472" s="48" t="str">
        <f>IF(B472&lt;&gt;0,IFERROR(UPPER(VLOOKUP(F472,Clientes!A:B,2,0)),"REGISTRAR CLIENTE"),"")</f>
        <v/>
      </c>
    </row>
    <row r="473" spans="12:12" x14ac:dyDescent="0.2">
      <c r="L473" s="48" t="str">
        <f>IF(B473&lt;&gt;0,IFERROR(UPPER(VLOOKUP(F473,Clientes!A:B,2,0)),"REGISTRAR CLIENTE"),"")</f>
        <v/>
      </c>
    </row>
    <row r="474" spans="12:12" x14ac:dyDescent="0.2">
      <c r="L474" s="48" t="str">
        <f>IF(B474&lt;&gt;0,IFERROR(UPPER(VLOOKUP(F474,Clientes!A:B,2,0)),"REGISTRAR CLIENTE"),"")</f>
        <v/>
      </c>
    </row>
    <row r="475" spans="12:12" x14ac:dyDescent="0.2">
      <c r="L475" s="48" t="str">
        <f>IF(B475&lt;&gt;0,IFERROR(UPPER(VLOOKUP(F475,Clientes!A:B,2,0)),"REGISTRAR CLIENTE"),"")</f>
        <v/>
      </c>
    </row>
    <row r="476" spans="12:12" x14ac:dyDescent="0.2">
      <c r="L476" s="48" t="str">
        <f>IF(B476&lt;&gt;0,IFERROR(UPPER(VLOOKUP(F476,Clientes!A:B,2,0)),"REGISTRAR CLIENTE"),"")</f>
        <v/>
      </c>
    </row>
    <row r="477" spans="12:12" x14ac:dyDescent="0.2">
      <c r="L477" s="48" t="str">
        <f>IF(B477&lt;&gt;0,IFERROR(UPPER(VLOOKUP(F477,Clientes!A:B,2,0)),"REGISTRAR CLIENTE"),"")</f>
        <v/>
      </c>
    </row>
    <row r="478" spans="12:12" x14ac:dyDescent="0.2">
      <c r="L478" s="48" t="str">
        <f>IF(B478&lt;&gt;0,IFERROR(UPPER(VLOOKUP(F478,Clientes!A:B,2,0)),"REGISTRAR CLIENTE"),"")</f>
        <v/>
      </c>
    </row>
    <row r="479" spans="12:12" x14ac:dyDescent="0.2">
      <c r="L479" s="48" t="str">
        <f>IF(B479&lt;&gt;0,IFERROR(UPPER(VLOOKUP(F479,Clientes!A:B,2,0)),"REGISTRAR CLIENTE"),"")</f>
        <v/>
      </c>
    </row>
    <row r="480" spans="12:12" x14ac:dyDescent="0.2">
      <c r="L480" s="48" t="str">
        <f>IF(B480&lt;&gt;0,IFERROR(UPPER(VLOOKUP(F480,Clientes!A:B,2,0)),"REGISTRAR CLIENTE"),"")</f>
        <v/>
      </c>
    </row>
    <row r="481" spans="12:12" x14ac:dyDescent="0.2">
      <c r="L481" s="48" t="str">
        <f>IF(B481&lt;&gt;0,IFERROR(UPPER(VLOOKUP(F481,Clientes!A:B,2,0)),"REGISTRAR CLIENTE"),"")</f>
        <v/>
      </c>
    </row>
    <row r="482" spans="12:12" x14ac:dyDescent="0.2">
      <c r="L482" s="48" t="str">
        <f>IF(B482&lt;&gt;0,IFERROR(UPPER(VLOOKUP(F482,Clientes!A:B,2,0)),"REGISTRAR CLIENTE"),"")</f>
        <v/>
      </c>
    </row>
    <row r="483" spans="12:12" x14ac:dyDescent="0.2">
      <c r="L483" s="48" t="str">
        <f>IF(B483&lt;&gt;0,IFERROR(UPPER(VLOOKUP(F483,Clientes!A:B,2,0)),"REGISTRAR CLIENTE"),"")</f>
        <v/>
      </c>
    </row>
    <row r="484" spans="12:12" x14ac:dyDescent="0.2">
      <c r="L484" s="48" t="str">
        <f>IF(B484&lt;&gt;0,IFERROR(UPPER(VLOOKUP(F484,Clientes!A:B,2,0)),"REGISTRAR CLIENTE"),"")</f>
        <v/>
      </c>
    </row>
    <row r="485" spans="12:12" x14ac:dyDescent="0.2">
      <c r="L485" s="48" t="str">
        <f>IF(B485&lt;&gt;0,IFERROR(UPPER(VLOOKUP(F485,Clientes!A:B,2,0)),"REGISTRAR CLIENTE"),"")</f>
        <v/>
      </c>
    </row>
    <row r="486" spans="12:12" x14ac:dyDescent="0.2">
      <c r="L486" s="48" t="str">
        <f>IF(B486&lt;&gt;0,IFERROR(UPPER(VLOOKUP(F486,Clientes!A:B,2,0)),"REGISTRAR CLIENTE"),"")</f>
        <v/>
      </c>
    </row>
    <row r="487" spans="12:12" x14ac:dyDescent="0.2">
      <c r="L487" s="48" t="str">
        <f>IF(B487&lt;&gt;0,IFERROR(UPPER(VLOOKUP(F487,Clientes!A:B,2,0)),"REGISTRAR CLIENTE"),"")</f>
        <v/>
      </c>
    </row>
    <row r="488" spans="12:12" x14ac:dyDescent="0.2">
      <c r="L488" s="48" t="str">
        <f>IF(B488&lt;&gt;0,IFERROR(UPPER(VLOOKUP(F488,Clientes!A:B,2,0)),"REGISTRAR CLIENTE"),"")</f>
        <v/>
      </c>
    </row>
    <row r="489" spans="12:12" x14ac:dyDescent="0.2">
      <c r="L489" s="48" t="str">
        <f>IF(B489&lt;&gt;0,IFERROR(UPPER(VLOOKUP(F489,Clientes!A:B,2,0)),"REGISTRAR CLIENTE"),"")</f>
        <v/>
      </c>
    </row>
    <row r="490" spans="12:12" x14ac:dyDescent="0.2">
      <c r="L490" s="48" t="str">
        <f>IF(B490&lt;&gt;0,IFERROR(UPPER(VLOOKUP(F490,Clientes!A:B,2,0)),"REGISTRAR CLIENTE"),"")</f>
        <v/>
      </c>
    </row>
    <row r="491" spans="12:12" x14ac:dyDescent="0.2">
      <c r="L491" s="48" t="str">
        <f>IF(B491&lt;&gt;0,IFERROR(UPPER(VLOOKUP(F491,Clientes!A:B,2,0)),"REGISTRAR CLIENTE"),"")</f>
        <v/>
      </c>
    </row>
    <row r="492" spans="12:12" x14ac:dyDescent="0.2">
      <c r="L492" s="48" t="str">
        <f>IF(B492&lt;&gt;0,IFERROR(UPPER(VLOOKUP(F492,Clientes!A:B,2,0)),"REGISTRAR CLIENTE"),"")</f>
        <v/>
      </c>
    </row>
    <row r="493" spans="12:12" x14ac:dyDescent="0.2">
      <c r="L493" s="48" t="str">
        <f>IF(B493&lt;&gt;0,IFERROR(UPPER(VLOOKUP(F493,Clientes!A:B,2,0)),"REGISTRAR CLIENTE"),"")</f>
        <v/>
      </c>
    </row>
    <row r="494" spans="12:12" x14ac:dyDescent="0.2">
      <c r="L494" s="48" t="str">
        <f>IF(B494&lt;&gt;0,IFERROR(UPPER(VLOOKUP(F494,Clientes!A:B,2,0)),"REGISTRAR CLIENTE"),"")</f>
        <v/>
      </c>
    </row>
    <row r="495" spans="12:12" x14ac:dyDescent="0.2">
      <c r="L495" s="48" t="str">
        <f>IF(B495&lt;&gt;0,IFERROR(UPPER(VLOOKUP(F495,Clientes!A:B,2,0)),"REGISTRAR CLIENTE"),"")</f>
        <v/>
      </c>
    </row>
    <row r="496" spans="12:12" x14ac:dyDescent="0.2">
      <c r="L496" s="48" t="str">
        <f>IF(B496&lt;&gt;0,IFERROR(UPPER(VLOOKUP(F496,Clientes!A:B,2,0)),"REGISTRAR CLIENTE"),"")</f>
        <v/>
      </c>
    </row>
    <row r="497" spans="12:12" x14ac:dyDescent="0.2">
      <c r="L497" s="48" t="str">
        <f>IF(B497&lt;&gt;0,IFERROR(UPPER(VLOOKUP(F497,Clientes!A:B,2,0)),"REGISTRAR CLIENTE"),"")</f>
        <v/>
      </c>
    </row>
    <row r="498" spans="12:12" x14ac:dyDescent="0.2">
      <c r="L498" s="48" t="str">
        <f>IF(B498&lt;&gt;0,IFERROR(UPPER(VLOOKUP(F498,Clientes!A:B,2,0)),"REGISTRAR CLIENTE"),"")</f>
        <v/>
      </c>
    </row>
    <row r="499" spans="12:12" x14ac:dyDescent="0.2">
      <c r="L499" s="48" t="str">
        <f>IF(B499&lt;&gt;0,IFERROR(UPPER(VLOOKUP(F499,Clientes!A:B,2,0)),"REGISTRAR CLIENTE"),"")</f>
        <v/>
      </c>
    </row>
    <row r="500" spans="12:12" x14ac:dyDescent="0.2">
      <c r="L500" s="48" t="str">
        <f>IF(B500&lt;&gt;0,IFERROR(UPPER(VLOOKUP(F500,Clientes!A:B,2,0)),"REGISTRAR CLIENTE"),"")</f>
        <v/>
      </c>
    </row>
    <row r="501" spans="12:12" x14ac:dyDescent="0.2">
      <c r="L501" s="48" t="str">
        <f>IF(B501&lt;&gt;0,IFERROR(UPPER(VLOOKUP(F501,Clientes!A:B,2,0)),"REGISTRAR CLIENTE"),"")</f>
        <v/>
      </c>
    </row>
  </sheetData>
  <sheetProtection formatRows="0" insertColumns="0" insertRows="0" deleteColumns="0" deleteRows="0"/>
  <customSheetViews>
    <customSheetView guid="{73E51341-71DF-40F5-871E-A9521C1C0B01}">
      <selection activeCell="B7" sqref="B7"/>
      <pageMargins left="0.7" right="0.7" top="0.75" bottom="0.75" header="0.3" footer="0.3"/>
      <pageSetup paperSize="9" orientation="portrait" r:id="rId1"/>
    </customSheetView>
  </customSheetViews>
  <conditionalFormatting sqref="D1:D4 D208:D1048576">
    <cfRule type="cellIs" dxfId="4" priority="5" operator="equal">
      <formula>OR(#REF!,#REF!,#REF!,#REF!,#REF!,#REF!,#REF!,#REF!,#REF!,#REF!,#REF!,#REF!,#REF!,#REF!,#REF!,#REF!,#REF!,#REF!,#REF!)</formula>
    </cfRule>
  </conditionalFormatting>
  <conditionalFormatting sqref="D5:D90">
    <cfRule type="cellIs" dxfId="3" priority="4" operator="equal">
      <formula>OR(#REF!,#REF!,#REF!,#REF!,#REF!,#REF!,#REF!,#REF!,#REF!,#REF!,#REF!,#REF!,#REF!,#REF!,#REF!,#REF!,#REF!,#REF!,#REF!)</formula>
    </cfRule>
  </conditionalFormatting>
  <conditionalFormatting sqref="L1:L1048576">
    <cfRule type="cellIs" dxfId="2" priority="3" operator="equal">
      <formula>"REGISTRAR CLIENTE"</formula>
    </cfRule>
  </conditionalFormatting>
  <conditionalFormatting sqref="K1:K1048576">
    <cfRule type="cellIs" dxfId="1" priority="1" operator="equal">
      <formula>"RET"</formula>
    </cfRule>
    <cfRule type="cellIs" dxfId="0" priority="2" operator="equal">
      <formula>""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rgb="FF00B050"/>
  </sheetPr>
  <dimension ref="A1:Q78"/>
  <sheetViews>
    <sheetView tabSelected="1" workbookViewId="0"/>
  </sheetViews>
  <sheetFormatPr baseColWidth="10" defaultColWidth="9.140625" defaultRowHeight="15" x14ac:dyDescent="0.25"/>
  <cols>
    <col min="1" max="1" width="11" style="30" bestFit="1" customWidth="1"/>
    <col min="2" max="2" width="14.85546875" style="34" bestFit="1" customWidth="1"/>
    <col min="3" max="3" width="18.85546875" style="30" bestFit="1" customWidth="1"/>
    <col min="4" max="4" width="17.28515625" style="30" bestFit="1" customWidth="1"/>
    <col min="5" max="5" width="18.5703125" style="30" bestFit="1" customWidth="1"/>
    <col min="6" max="6" width="14.42578125" style="30" bestFit="1" customWidth="1"/>
    <col min="7" max="7" width="11" style="30" bestFit="1" customWidth="1"/>
    <col min="8" max="8" width="17.5703125" style="30" bestFit="1" customWidth="1"/>
    <col min="9" max="9" width="14.7109375" style="30" bestFit="1" customWidth="1"/>
    <col min="10" max="10" width="16.7109375" style="30" bestFit="1" customWidth="1"/>
    <col min="11" max="11" width="11" style="30" bestFit="1" customWidth="1"/>
    <col min="12" max="13" width="13.85546875" style="30" bestFit="1" customWidth="1"/>
    <col min="14" max="15" width="11" style="30" bestFit="1" customWidth="1"/>
    <col min="16" max="16" width="11.5703125" style="30" bestFit="1" customWidth="1"/>
    <col min="17" max="17" width="11" style="30" bestFit="1" customWidth="1"/>
    <col min="18" max="16384" width="9.140625" style="30"/>
  </cols>
  <sheetData>
    <row r="1" spans="1:17" s="22" customFormat="1" x14ac:dyDescent="0.25">
      <c r="A1" s="26" t="s">
        <v>1158</v>
      </c>
      <c r="B1" s="31" t="s">
        <v>1157</v>
      </c>
      <c r="C1" s="25" t="s">
        <v>1156</v>
      </c>
      <c r="D1" s="25" t="s">
        <v>1155</v>
      </c>
      <c r="E1" s="25" t="s">
        <v>1154</v>
      </c>
      <c r="F1" s="26" t="s">
        <v>1153</v>
      </c>
      <c r="G1" s="25" t="s">
        <v>1152</v>
      </c>
      <c r="H1" s="25" t="s">
        <v>1151</v>
      </c>
      <c r="I1" s="25" t="s">
        <v>1150</v>
      </c>
      <c r="J1" s="25" t="s">
        <v>1149</v>
      </c>
      <c r="K1" s="25" t="s">
        <v>1148</v>
      </c>
      <c r="L1" s="25" t="s">
        <v>1147</v>
      </c>
      <c r="M1" s="25" t="s">
        <v>1146</v>
      </c>
      <c r="N1" s="25" t="s">
        <v>1145</v>
      </c>
      <c r="O1" s="25" t="s">
        <v>1144</v>
      </c>
      <c r="P1" s="25" t="s">
        <v>1143</v>
      </c>
      <c r="Q1" s="25" t="s">
        <v>1142</v>
      </c>
    </row>
    <row r="2" spans="1:17" s="22" customFormat="1" x14ac:dyDescent="0.25">
      <c r="A2" s="26" t="s">
        <v>1141</v>
      </c>
      <c r="B2" s="31" t="s">
        <v>1140</v>
      </c>
      <c r="C2" s="25" t="s">
        <v>1139</v>
      </c>
      <c r="D2" s="25" t="s">
        <v>1138</v>
      </c>
      <c r="E2" s="25" t="s">
        <v>1137</v>
      </c>
      <c r="F2" s="25" t="s">
        <v>1136</v>
      </c>
      <c r="G2" s="25" t="s">
        <v>1135</v>
      </c>
      <c r="H2" s="25" t="s">
        <v>1134</v>
      </c>
      <c r="I2" s="25" t="s">
        <v>1133</v>
      </c>
      <c r="J2" s="25" t="s">
        <v>1132</v>
      </c>
      <c r="K2" s="25" t="s">
        <v>1131</v>
      </c>
      <c r="L2" s="25" t="s">
        <v>1130</v>
      </c>
      <c r="M2" s="25" t="s">
        <v>1129</v>
      </c>
      <c r="N2" s="25" t="s">
        <v>1128</v>
      </c>
      <c r="O2" s="25" t="s">
        <v>1127</v>
      </c>
      <c r="P2" s="25" t="s">
        <v>1126</v>
      </c>
      <c r="Q2" s="25" t="s">
        <v>1125</v>
      </c>
    </row>
    <row r="3" spans="1:17" s="22" customFormat="1" x14ac:dyDescent="0.25">
      <c r="A3" s="23" t="s">
        <v>1123</v>
      </c>
      <c r="B3" s="32" t="s">
        <v>1124</v>
      </c>
      <c r="C3" s="23" t="s">
        <v>1123</v>
      </c>
      <c r="D3" s="23" t="s">
        <v>1123</v>
      </c>
      <c r="E3" s="23" t="s">
        <v>1123</v>
      </c>
      <c r="F3" s="23" t="s">
        <v>1123</v>
      </c>
      <c r="G3" s="23" t="s">
        <v>1123</v>
      </c>
      <c r="H3" s="23" t="s">
        <v>1123</v>
      </c>
      <c r="I3" s="23" t="s">
        <v>1123</v>
      </c>
      <c r="J3" s="23" t="s">
        <v>1123</v>
      </c>
      <c r="K3" s="23" t="s">
        <v>1123</v>
      </c>
      <c r="L3" s="23" t="s">
        <v>1123</v>
      </c>
      <c r="M3" s="23" t="s">
        <v>1123</v>
      </c>
      <c r="N3" s="23" t="s">
        <v>1123</v>
      </c>
      <c r="O3" s="23" t="s">
        <v>1123</v>
      </c>
      <c r="P3" s="23" t="s">
        <v>1123</v>
      </c>
      <c r="Q3" s="23" t="s">
        <v>1123</v>
      </c>
    </row>
    <row r="4" spans="1:17" s="22" customFormat="1" x14ac:dyDescent="0.25">
      <c r="A4" s="23">
        <v>20</v>
      </c>
      <c r="B4" s="32" t="s">
        <v>1122</v>
      </c>
      <c r="C4" s="24">
        <v>25</v>
      </c>
      <c r="D4" s="24">
        <v>180</v>
      </c>
      <c r="E4" s="23">
        <v>20</v>
      </c>
      <c r="F4" s="24">
        <v>15</v>
      </c>
      <c r="G4" s="23">
        <v>25</v>
      </c>
      <c r="H4" s="23">
        <v>25</v>
      </c>
      <c r="I4" s="23">
        <v>25</v>
      </c>
      <c r="J4" s="23">
        <v>256</v>
      </c>
      <c r="K4" s="23">
        <v>30</v>
      </c>
      <c r="L4" s="23">
        <v>35</v>
      </c>
      <c r="M4" s="23">
        <v>35</v>
      </c>
      <c r="N4" s="23">
        <v>35</v>
      </c>
      <c r="O4" s="23">
        <v>35</v>
      </c>
      <c r="P4" s="23">
        <v>20</v>
      </c>
      <c r="Q4" s="23">
        <v>25</v>
      </c>
    </row>
    <row r="5" spans="1:17" s="37" customFormat="1" ht="12.75" x14ac:dyDescent="0.2">
      <c r="A5" s="35">
        <v>22965</v>
      </c>
      <c r="B5" s="36">
        <v>43445</v>
      </c>
      <c r="C5" s="35"/>
      <c r="D5" s="35"/>
      <c r="E5" s="35"/>
      <c r="F5" s="35">
        <v>1726</v>
      </c>
    </row>
    <row r="6" spans="1:17" s="37" customFormat="1" ht="12.75" x14ac:dyDescent="0.2">
      <c r="A6" s="21"/>
      <c r="B6" s="33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</row>
    <row r="7" spans="1:17" x14ac:dyDescent="0.25">
      <c r="A7"/>
      <c r="B7" s="33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x14ac:dyDescent="0.25">
      <c r="A8"/>
      <c r="B8" s="33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25">
      <c r="A9"/>
      <c r="B9" s="33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25">
      <c r="A10"/>
      <c r="B10" s="33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25">
      <c r="A11"/>
      <c r="B11" s="33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25">
      <c r="A12"/>
      <c r="B12" s="33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x14ac:dyDescent="0.25">
      <c r="A13"/>
      <c r="B13" s="3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x14ac:dyDescent="0.25">
      <c r="A14"/>
      <c r="B14" s="33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 x14ac:dyDescent="0.25">
      <c r="A15"/>
      <c r="B15" s="33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 x14ac:dyDescent="0.25">
      <c r="A16"/>
      <c r="B16" s="33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B17" s="33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B18" s="33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B19" s="33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B20" s="33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B21" s="33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B22" s="33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B23" s="3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B24" s="33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B25" s="33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B26" s="33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B27" s="33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B28" s="33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B29" s="33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B30" s="33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B31" s="33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B32" s="33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B33" s="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B34" s="33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B35" s="33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B36" s="33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B37" s="33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B38" s="33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B39" s="33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B40" s="33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B41" s="33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B42" s="33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B43" s="3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B44" s="33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B45" s="33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B46" s="33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B47" s="33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B48" s="33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B49" s="33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B50" s="33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B51" s="33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B52" s="33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B53" s="3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B54" s="33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B55" s="33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B56" s="33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B57" s="33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B58" s="33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B59" s="33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B60" s="33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B61" s="33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B62" s="33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B63" s="3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B64" s="33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B65" s="33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B66" s="33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B67" s="33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B68" s="33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B69" s="33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B70" s="33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B71" s="33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B72" s="33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B73" s="3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B74" s="33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B75" s="33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B76" s="33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B77" s="33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B78" s="33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</sheetData>
  <dataValidations count="17">
    <dataValidation type="textLength" operator="lessThanOrEqual" allowBlank="1" showInputMessage="1" showErrorMessage="1" sqref="A79:A504 A5:A6" xr:uid="{00000000-0002-0000-0200-000000000000}">
      <formula1>$A$4</formula1>
    </dataValidation>
    <dataValidation type="textLength" operator="lessThanOrEqual" allowBlank="1" showInputMessage="1" showErrorMessage="1" sqref="B79:B504 B5:B6" xr:uid="{00000000-0002-0000-0200-000001000000}">
      <formula1>10</formula1>
    </dataValidation>
    <dataValidation type="textLength" operator="lessThanOrEqual" allowBlank="1" showInputMessage="1" showErrorMessage="1" sqref="C79:C504 C5:C6" xr:uid="{00000000-0002-0000-0200-000002000000}">
      <formula1>$C$4</formula1>
    </dataValidation>
    <dataValidation type="textLength" operator="lessThanOrEqual" allowBlank="1" showInputMessage="1" showErrorMessage="1" sqref="D79:D504 D5:D6" xr:uid="{00000000-0002-0000-0200-000003000000}">
      <formula1>$D$4</formula1>
    </dataValidation>
    <dataValidation type="textLength" operator="lessThanOrEqual" allowBlank="1" showInputMessage="1" showErrorMessage="1" sqref="E79:E504 E5:E6" xr:uid="{00000000-0002-0000-0200-000004000000}">
      <formula1>$E$4</formula1>
    </dataValidation>
    <dataValidation type="textLength" operator="lessThanOrEqual" allowBlank="1" showInputMessage="1" showErrorMessage="1" sqref="F79:F504 F5:F6" xr:uid="{00000000-0002-0000-0200-000005000000}">
      <formula1>$F$4</formula1>
    </dataValidation>
    <dataValidation type="textLength" operator="lessThanOrEqual" allowBlank="1" showInputMessage="1" showErrorMessage="1" sqref="G79:G504 G5:G6" xr:uid="{00000000-0002-0000-0200-000006000000}">
      <formula1>$G$4</formula1>
    </dataValidation>
    <dataValidation type="textLength" operator="lessThanOrEqual" allowBlank="1" showInputMessage="1" showErrorMessage="1" sqref="H79:H504 H5:H6" xr:uid="{00000000-0002-0000-0200-000007000000}">
      <formula1>$H$4</formula1>
    </dataValidation>
    <dataValidation type="textLength" operator="lessThanOrEqual" allowBlank="1" showInputMessage="1" showErrorMessage="1" sqref="I79:I504 I5:I6" xr:uid="{00000000-0002-0000-0200-000008000000}">
      <formula1>$I$4</formula1>
    </dataValidation>
    <dataValidation type="textLength" operator="lessThanOrEqual" allowBlank="1" showInputMessage="1" showErrorMessage="1" sqref="J79:J504 J5:J6" xr:uid="{00000000-0002-0000-0200-000009000000}">
      <formula1>$J$4</formula1>
    </dataValidation>
    <dataValidation type="textLength" operator="lessThanOrEqual" allowBlank="1" showInputMessage="1" showErrorMessage="1" sqref="K79:K504 K5:K6" xr:uid="{00000000-0002-0000-0200-00000A000000}">
      <formula1>$K$4</formula1>
    </dataValidation>
    <dataValidation type="textLength" operator="lessThanOrEqual" allowBlank="1" showInputMessage="1" showErrorMessage="1" sqref="L79:L504 L5:L6" xr:uid="{00000000-0002-0000-0200-00000B000000}">
      <formula1>$L$4</formula1>
    </dataValidation>
    <dataValidation type="textLength" operator="lessThanOrEqual" allowBlank="1" showInputMessage="1" showErrorMessage="1" sqref="M79:M504 M5:M6" xr:uid="{00000000-0002-0000-0200-00000C000000}">
      <formula1>$M$4</formula1>
    </dataValidation>
    <dataValidation type="textLength" operator="lessThanOrEqual" allowBlank="1" showInputMessage="1" showErrorMessage="1" sqref="N79:N504 N5:N6" xr:uid="{00000000-0002-0000-0200-00000D000000}">
      <formula1>$N$4</formula1>
    </dataValidation>
    <dataValidation type="textLength" operator="lessThanOrEqual" allowBlank="1" showInputMessage="1" showErrorMessage="1" sqref="O79:O504 O5:O6" xr:uid="{00000000-0002-0000-0200-00000E000000}">
      <formula1>$O$4</formula1>
    </dataValidation>
    <dataValidation type="textLength" operator="lessThanOrEqual" allowBlank="1" showInputMessage="1" showErrorMessage="1" sqref="P79:P504 P5:P6" xr:uid="{00000000-0002-0000-0200-00000F000000}">
      <formula1>$P$4</formula1>
    </dataValidation>
    <dataValidation type="textLength" operator="lessThanOrEqual" allowBlank="1" showInputMessage="1" showErrorMessage="1" sqref="Q79:Q504 Q5:Q6" xr:uid="{00000000-0002-0000-0200-000010000000}">
      <formula1>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00B050"/>
  </sheetPr>
  <dimension ref="A1:CY504"/>
  <sheetViews>
    <sheetView workbookViewId="0"/>
  </sheetViews>
  <sheetFormatPr baseColWidth="10" defaultColWidth="9.140625" defaultRowHeight="12.75" x14ac:dyDescent="0.2"/>
  <cols>
    <col min="1" max="1" width="11" style="35" bestFit="1" customWidth="1"/>
    <col min="2" max="2" width="9" style="35" bestFit="1" customWidth="1"/>
    <col min="3" max="3" width="22.85546875" style="35" customWidth="1"/>
    <col min="4" max="4" width="17.5703125" style="35" bestFit="1" customWidth="1"/>
    <col min="5" max="5" width="14.140625" style="35" bestFit="1" customWidth="1"/>
    <col min="6" max="6" width="14.5703125" style="35" bestFit="1" customWidth="1"/>
    <col min="7" max="7" width="16.7109375" style="35" bestFit="1" customWidth="1"/>
    <col min="8" max="8" width="18.140625" style="35" bestFit="1" customWidth="1"/>
    <col min="9" max="9" width="25.28515625" style="35" bestFit="1" customWidth="1"/>
    <col min="10" max="16384" width="9.140625" style="35"/>
  </cols>
  <sheetData>
    <row r="1" spans="1:103" s="22" customFormat="1" ht="15" x14ac:dyDescent="0.25">
      <c r="A1" s="29" t="s">
        <v>1158</v>
      </c>
      <c r="B1" s="29" t="s">
        <v>1175</v>
      </c>
      <c r="C1" s="29" t="s">
        <v>1174</v>
      </c>
      <c r="D1" s="29" t="s">
        <v>1173</v>
      </c>
      <c r="E1" s="28" t="s">
        <v>1172</v>
      </c>
      <c r="F1" s="29" t="s">
        <v>1171</v>
      </c>
      <c r="G1" s="28" t="s">
        <v>1170</v>
      </c>
      <c r="H1" s="28" t="s">
        <v>1169</v>
      </c>
      <c r="I1" s="28" t="s">
        <v>1168</v>
      </c>
    </row>
    <row r="2" spans="1:103" s="22" customFormat="1" ht="15" x14ac:dyDescent="0.25">
      <c r="A2" s="29" t="s">
        <v>1141</v>
      </c>
      <c r="B2" s="29" t="s">
        <v>1167</v>
      </c>
      <c r="C2" s="29" t="s">
        <v>1166</v>
      </c>
      <c r="D2" s="29" t="s">
        <v>1165</v>
      </c>
      <c r="E2" s="28" t="s">
        <v>1164</v>
      </c>
      <c r="F2" s="29" t="s">
        <v>1163</v>
      </c>
      <c r="G2" s="28" t="s">
        <v>1162</v>
      </c>
      <c r="H2" s="28" t="s">
        <v>1161</v>
      </c>
      <c r="I2" s="28" t="s">
        <v>1160</v>
      </c>
    </row>
    <row r="3" spans="1:103" s="22" customFormat="1" ht="15" x14ac:dyDescent="0.25">
      <c r="A3" s="27" t="s">
        <v>1123</v>
      </c>
      <c r="B3" s="27" t="s">
        <v>1159</v>
      </c>
      <c r="C3" s="27" t="s">
        <v>1123</v>
      </c>
      <c r="D3" s="27" t="s">
        <v>1123</v>
      </c>
      <c r="E3" s="27" t="s">
        <v>1123</v>
      </c>
      <c r="F3" s="27" t="s">
        <v>1159</v>
      </c>
      <c r="G3" s="27" t="s">
        <v>1123</v>
      </c>
      <c r="H3" s="27" t="s">
        <v>1159</v>
      </c>
      <c r="I3" s="27" t="s">
        <v>1123</v>
      </c>
    </row>
    <row r="4" spans="1:103" s="22" customFormat="1" ht="15" x14ac:dyDescent="0.25">
      <c r="A4" s="27">
        <v>20</v>
      </c>
      <c r="B4" s="27">
        <v>6</v>
      </c>
      <c r="C4" s="27">
        <v>30</v>
      </c>
      <c r="D4" s="27">
        <v>8</v>
      </c>
      <c r="E4" s="27">
        <v>5</v>
      </c>
      <c r="F4" s="27">
        <v>9</v>
      </c>
      <c r="G4" s="27">
        <v>30</v>
      </c>
      <c r="H4" s="27">
        <v>6</v>
      </c>
      <c r="I4" s="27">
        <v>4</v>
      </c>
    </row>
    <row r="5" spans="1:103" x14ac:dyDescent="0.2">
      <c r="A5" s="35">
        <v>22965</v>
      </c>
      <c r="B5" s="38">
        <v>1</v>
      </c>
      <c r="C5" s="39" t="s">
        <v>1198</v>
      </c>
      <c r="D5" s="35" t="s">
        <v>1176</v>
      </c>
      <c r="E5" s="35" t="s">
        <v>1188</v>
      </c>
      <c r="F5" s="38">
        <v>130</v>
      </c>
    </row>
    <row r="6" spans="1:103" x14ac:dyDescent="0.2">
      <c r="B6" s="38"/>
      <c r="C6" s="39"/>
      <c r="F6" s="38"/>
    </row>
    <row r="7" spans="1:103" x14ac:dyDescent="0.2">
      <c r="B7" s="38"/>
      <c r="C7" s="39"/>
      <c r="F7" s="38"/>
    </row>
    <row r="8" spans="1:103" x14ac:dyDescent="0.2">
      <c r="B8" s="38"/>
      <c r="C8" s="39"/>
      <c r="F8" s="38"/>
    </row>
    <row r="9" spans="1:103" x14ac:dyDescent="0.2">
      <c r="B9" s="38"/>
      <c r="C9" s="39"/>
      <c r="F9" s="38"/>
    </row>
    <row r="10" spans="1:103" x14ac:dyDescent="0.2">
      <c r="B10" s="38"/>
      <c r="C10" s="39"/>
      <c r="F10" s="38"/>
    </row>
    <row r="11" spans="1:103" x14ac:dyDescent="0.2">
      <c r="B11" s="38"/>
      <c r="C11" s="39"/>
      <c r="F11" s="38"/>
    </row>
    <row r="12" spans="1:103" x14ac:dyDescent="0.2">
      <c r="B12" s="38"/>
      <c r="C12" s="39"/>
      <c r="F12" s="38"/>
      <c r="CY12" s="40"/>
    </row>
    <row r="13" spans="1:103" x14ac:dyDescent="0.2">
      <c r="B13" s="38"/>
      <c r="C13" s="39"/>
      <c r="F13" s="38"/>
      <c r="CY13" s="40"/>
    </row>
    <row r="14" spans="1:103" x14ac:dyDescent="0.2">
      <c r="B14" s="38"/>
      <c r="C14" s="39"/>
      <c r="F14" s="38"/>
      <c r="CY14" s="40"/>
    </row>
    <row r="15" spans="1:103" x14ac:dyDescent="0.2">
      <c r="B15" s="38"/>
      <c r="C15" s="39"/>
      <c r="F15" s="38"/>
      <c r="CY15" s="40"/>
    </row>
    <row r="16" spans="1:103" x14ac:dyDescent="0.2">
      <c r="B16" s="38"/>
      <c r="C16" s="39"/>
      <c r="F16" s="38"/>
      <c r="CY16" s="40"/>
    </row>
    <row r="17" spans="2:103" x14ac:dyDescent="0.2">
      <c r="B17" s="38"/>
      <c r="C17" s="39"/>
      <c r="F17" s="38"/>
      <c r="CY17" s="40"/>
    </row>
    <row r="18" spans="2:103" x14ac:dyDescent="0.2">
      <c r="B18" s="38"/>
      <c r="C18" s="39"/>
      <c r="F18" s="38"/>
    </row>
    <row r="19" spans="2:103" x14ac:dyDescent="0.2">
      <c r="B19" s="38"/>
      <c r="C19" s="39"/>
      <c r="F19" s="38"/>
    </row>
    <row r="20" spans="2:103" x14ac:dyDescent="0.2">
      <c r="B20" s="38"/>
      <c r="C20" s="39"/>
      <c r="F20" s="38"/>
    </row>
    <row r="21" spans="2:103" x14ac:dyDescent="0.2">
      <c r="B21" s="38"/>
      <c r="C21" s="39"/>
      <c r="F21" s="38"/>
    </row>
    <row r="22" spans="2:103" x14ac:dyDescent="0.2">
      <c r="B22" s="38"/>
      <c r="C22" s="39"/>
      <c r="F22" s="38"/>
    </row>
    <row r="23" spans="2:103" x14ac:dyDescent="0.2">
      <c r="B23" s="38"/>
      <c r="C23" s="39"/>
      <c r="F23" s="38"/>
    </row>
    <row r="24" spans="2:103" x14ac:dyDescent="0.2">
      <c r="B24" s="38"/>
      <c r="C24" s="39"/>
      <c r="F24" s="38"/>
    </row>
    <row r="25" spans="2:103" x14ac:dyDescent="0.2">
      <c r="B25" s="38"/>
      <c r="C25" s="39"/>
      <c r="F25" s="38"/>
    </row>
    <row r="26" spans="2:103" x14ac:dyDescent="0.2">
      <c r="B26" s="38"/>
      <c r="C26" s="39"/>
      <c r="F26" s="38"/>
    </row>
    <row r="27" spans="2:103" x14ac:dyDescent="0.2">
      <c r="B27" s="38"/>
      <c r="C27" s="39"/>
      <c r="F27" s="38"/>
    </row>
    <row r="28" spans="2:103" x14ac:dyDescent="0.2">
      <c r="B28" s="38"/>
      <c r="C28" s="39"/>
      <c r="F28" s="38"/>
    </row>
    <row r="29" spans="2:103" x14ac:dyDescent="0.2">
      <c r="B29" s="38"/>
      <c r="C29" s="39"/>
      <c r="F29" s="38"/>
    </row>
    <row r="30" spans="2:103" x14ac:dyDescent="0.2">
      <c r="B30" s="38"/>
      <c r="C30" s="39"/>
      <c r="F30" s="38"/>
    </row>
    <row r="31" spans="2:103" x14ac:dyDescent="0.2">
      <c r="B31" s="38"/>
      <c r="C31" s="39"/>
      <c r="F31" s="38"/>
    </row>
    <row r="32" spans="2:103" x14ac:dyDescent="0.2">
      <c r="B32" s="38"/>
      <c r="C32" s="39"/>
      <c r="F32" s="38"/>
    </row>
    <row r="33" spans="2:6" x14ac:dyDescent="0.2">
      <c r="B33" s="38"/>
      <c r="C33" s="39"/>
      <c r="F33" s="38"/>
    </row>
    <row r="34" spans="2:6" x14ac:dyDescent="0.2">
      <c r="B34" s="38"/>
      <c r="C34" s="39"/>
      <c r="F34" s="38"/>
    </row>
    <row r="35" spans="2:6" x14ac:dyDescent="0.2">
      <c r="B35" s="38"/>
      <c r="C35" s="39"/>
      <c r="F35" s="38"/>
    </row>
    <row r="36" spans="2:6" x14ac:dyDescent="0.2">
      <c r="B36" s="38"/>
      <c r="C36" s="39"/>
      <c r="F36" s="38"/>
    </row>
    <row r="37" spans="2:6" x14ac:dyDescent="0.2">
      <c r="B37" s="38"/>
      <c r="C37" s="39"/>
      <c r="F37" s="38"/>
    </row>
    <row r="38" spans="2:6" x14ac:dyDescent="0.2">
      <c r="B38" s="38"/>
      <c r="C38" s="39"/>
      <c r="F38" s="38"/>
    </row>
    <row r="39" spans="2:6" x14ac:dyDescent="0.2">
      <c r="B39" s="38"/>
      <c r="C39" s="39"/>
      <c r="F39" s="38"/>
    </row>
    <row r="40" spans="2:6" x14ac:dyDescent="0.2">
      <c r="B40" s="38"/>
      <c r="C40" s="39"/>
      <c r="F40" s="38"/>
    </row>
    <row r="41" spans="2:6" x14ac:dyDescent="0.2">
      <c r="B41" s="38"/>
      <c r="C41" s="39"/>
      <c r="F41" s="38"/>
    </row>
    <row r="42" spans="2:6" x14ac:dyDescent="0.2">
      <c r="B42" s="38"/>
      <c r="C42" s="39"/>
      <c r="F42" s="38"/>
    </row>
    <row r="43" spans="2:6" x14ac:dyDescent="0.2">
      <c r="B43" s="38"/>
      <c r="C43" s="39"/>
      <c r="F43" s="38"/>
    </row>
    <row r="44" spans="2:6" x14ac:dyDescent="0.2">
      <c r="B44" s="38"/>
      <c r="C44" s="39"/>
      <c r="F44" s="38"/>
    </row>
    <row r="45" spans="2:6" x14ac:dyDescent="0.2">
      <c r="B45" s="38"/>
      <c r="C45" s="39"/>
      <c r="F45" s="38"/>
    </row>
    <row r="46" spans="2:6" x14ac:dyDescent="0.2">
      <c r="B46" s="38"/>
      <c r="C46" s="39"/>
      <c r="F46" s="38"/>
    </row>
    <row r="47" spans="2:6" x14ac:dyDescent="0.2">
      <c r="B47" s="38"/>
      <c r="C47" s="39"/>
      <c r="F47" s="38"/>
    </row>
    <row r="48" spans="2:6" x14ac:dyDescent="0.2">
      <c r="B48" s="38"/>
      <c r="C48" s="39"/>
      <c r="F48" s="38"/>
    </row>
    <row r="49" spans="2:6" x14ac:dyDescent="0.2">
      <c r="B49" s="38"/>
      <c r="C49" s="39"/>
      <c r="F49" s="38"/>
    </row>
    <row r="50" spans="2:6" x14ac:dyDescent="0.2">
      <c r="B50" s="38"/>
      <c r="C50" s="39"/>
      <c r="F50" s="38"/>
    </row>
    <row r="51" spans="2:6" x14ac:dyDescent="0.2">
      <c r="B51" s="38"/>
      <c r="C51" s="39"/>
      <c r="F51" s="38"/>
    </row>
    <row r="52" spans="2:6" x14ac:dyDescent="0.2">
      <c r="B52" s="38"/>
      <c r="C52" s="39"/>
      <c r="F52" s="38"/>
    </row>
    <row r="53" spans="2:6" x14ac:dyDescent="0.2">
      <c r="B53" s="38"/>
      <c r="C53" s="39"/>
      <c r="F53" s="38"/>
    </row>
    <row r="54" spans="2:6" x14ac:dyDescent="0.2">
      <c r="B54" s="38"/>
      <c r="C54" s="39"/>
      <c r="F54" s="38"/>
    </row>
    <row r="55" spans="2:6" x14ac:dyDescent="0.2">
      <c r="B55" s="38"/>
      <c r="C55" s="39"/>
      <c r="F55" s="38"/>
    </row>
    <row r="56" spans="2:6" x14ac:dyDescent="0.2">
      <c r="B56" s="38"/>
      <c r="C56" s="39"/>
      <c r="F56" s="38"/>
    </row>
    <row r="57" spans="2:6" x14ac:dyDescent="0.2">
      <c r="B57" s="38"/>
      <c r="C57" s="39"/>
      <c r="F57" s="38"/>
    </row>
    <row r="58" spans="2:6" x14ac:dyDescent="0.2">
      <c r="B58" s="38"/>
      <c r="C58" s="39"/>
      <c r="F58" s="38"/>
    </row>
    <row r="59" spans="2:6" x14ac:dyDescent="0.2">
      <c r="B59" s="38"/>
      <c r="C59" s="39"/>
      <c r="F59" s="38"/>
    </row>
    <row r="60" spans="2:6" x14ac:dyDescent="0.2">
      <c r="B60" s="38"/>
      <c r="C60" s="39"/>
      <c r="F60" s="38"/>
    </row>
    <row r="61" spans="2:6" x14ac:dyDescent="0.2">
      <c r="B61" s="38"/>
      <c r="C61" s="39"/>
      <c r="F61" s="38"/>
    </row>
    <row r="62" spans="2:6" x14ac:dyDescent="0.2">
      <c r="B62" s="38"/>
      <c r="C62" s="39"/>
      <c r="F62" s="38"/>
    </row>
    <row r="63" spans="2:6" x14ac:dyDescent="0.2">
      <c r="B63" s="38"/>
      <c r="C63" s="39"/>
      <c r="F63" s="38"/>
    </row>
    <row r="64" spans="2:6" x14ac:dyDescent="0.2">
      <c r="B64" s="38"/>
      <c r="C64" s="39"/>
      <c r="F64" s="38"/>
    </row>
    <row r="65" spans="2:6" x14ac:dyDescent="0.2">
      <c r="B65" s="38"/>
      <c r="C65" s="39"/>
      <c r="F65" s="38"/>
    </row>
    <row r="66" spans="2:6" x14ac:dyDescent="0.2">
      <c r="B66" s="38"/>
      <c r="C66" s="39"/>
      <c r="F66" s="38"/>
    </row>
    <row r="67" spans="2:6" x14ac:dyDescent="0.2">
      <c r="B67" s="38"/>
      <c r="C67" s="39"/>
      <c r="F67" s="38"/>
    </row>
    <row r="68" spans="2:6" x14ac:dyDescent="0.2">
      <c r="B68" s="38"/>
      <c r="C68" s="39"/>
      <c r="F68" s="38"/>
    </row>
    <row r="69" spans="2:6" x14ac:dyDescent="0.2">
      <c r="B69" s="38"/>
      <c r="C69" s="39"/>
      <c r="F69" s="38"/>
    </row>
    <row r="70" spans="2:6" x14ac:dyDescent="0.2">
      <c r="B70" s="38"/>
      <c r="C70" s="39"/>
      <c r="F70" s="38"/>
    </row>
    <row r="71" spans="2:6" x14ac:dyDescent="0.2">
      <c r="B71" s="38"/>
      <c r="C71" s="39"/>
      <c r="F71" s="38"/>
    </row>
    <row r="72" spans="2:6" x14ac:dyDescent="0.2">
      <c r="B72" s="38"/>
      <c r="C72" s="39"/>
      <c r="F72" s="38"/>
    </row>
    <row r="73" spans="2:6" x14ac:dyDescent="0.2">
      <c r="B73" s="38"/>
      <c r="C73" s="39"/>
      <c r="F73" s="38"/>
    </row>
    <row r="74" spans="2:6" x14ac:dyDescent="0.2">
      <c r="B74" s="38"/>
      <c r="C74" s="39"/>
      <c r="F74" s="38"/>
    </row>
    <row r="75" spans="2:6" x14ac:dyDescent="0.2">
      <c r="B75" s="38"/>
      <c r="C75" s="39"/>
      <c r="F75" s="38"/>
    </row>
    <row r="76" spans="2:6" x14ac:dyDescent="0.2">
      <c r="B76" s="38"/>
      <c r="C76" s="39"/>
      <c r="F76" s="38"/>
    </row>
    <row r="77" spans="2:6" x14ac:dyDescent="0.2">
      <c r="B77" s="38"/>
      <c r="C77" s="39"/>
      <c r="F77" s="38"/>
    </row>
    <row r="78" spans="2:6" x14ac:dyDescent="0.2">
      <c r="B78" s="38"/>
      <c r="C78" s="39"/>
      <c r="F78" s="38"/>
    </row>
    <row r="79" spans="2:6" x14ac:dyDescent="0.2">
      <c r="B79" s="38"/>
      <c r="C79" s="39"/>
      <c r="F79" s="38"/>
    </row>
    <row r="80" spans="2:6" x14ac:dyDescent="0.2">
      <c r="B80" s="38"/>
      <c r="C80" s="39"/>
      <c r="F80" s="38"/>
    </row>
    <row r="81" spans="2:6" x14ac:dyDescent="0.2">
      <c r="B81" s="38"/>
      <c r="C81" s="39"/>
      <c r="F81" s="38"/>
    </row>
    <row r="82" spans="2:6" x14ac:dyDescent="0.2">
      <c r="B82" s="38"/>
      <c r="C82" s="39"/>
      <c r="F82" s="38"/>
    </row>
    <row r="83" spans="2:6" x14ac:dyDescent="0.2">
      <c r="B83" s="38"/>
      <c r="C83" s="39"/>
      <c r="F83" s="38"/>
    </row>
    <row r="84" spans="2:6" x14ac:dyDescent="0.2">
      <c r="B84" s="38"/>
      <c r="C84" s="39"/>
      <c r="F84" s="38"/>
    </row>
    <row r="85" spans="2:6" x14ac:dyDescent="0.2">
      <c r="B85" s="38"/>
      <c r="C85" s="39"/>
      <c r="F85" s="38"/>
    </row>
    <row r="86" spans="2:6" x14ac:dyDescent="0.2">
      <c r="B86" s="38"/>
      <c r="C86" s="39"/>
      <c r="F86" s="38"/>
    </row>
    <row r="87" spans="2:6" x14ac:dyDescent="0.2">
      <c r="B87" s="38"/>
      <c r="C87" s="39"/>
      <c r="F87" s="38"/>
    </row>
    <row r="88" spans="2:6" x14ac:dyDescent="0.2">
      <c r="B88" s="38"/>
      <c r="C88" s="39"/>
      <c r="F88" s="38"/>
    </row>
    <row r="89" spans="2:6" x14ac:dyDescent="0.2">
      <c r="B89" s="38"/>
      <c r="C89" s="39"/>
      <c r="F89" s="38"/>
    </row>
    <row r="90" spans="2:6" x14ac:dyDescent="0.2">
      <c r="B90" s="38"/>
      <c r="C90" s="39"/>
      <c r="F90" s="38"/>
    </row>
    <row r="91" spans="2:6" x14ac:dyDescent="0.2">
      <c r="B91" s="38"/>
      <c r="C91" s="39"/>
      <c r="F91" s="38"/>
    </row>
    <row r="92" spans="2:6" x14ac:dyDescent="0.2">
      <c r="B92" s="38"/>
      <c r="C92" s="39"/>
      <c r="F92" s="38"/>
    </row>
    <row r="93" spans="2:6" x14ac:dyDescent="0.2">
      <c r="B93" s="38"/>
      <c r="C93" s="39"/>
      <c r="F93" s="38"/>
    </row>
    <row r="94" spans="2:6" x14ac:dyDescent="0.2">
      <c r="B94" s="38"/>
      <c r="C94" s="39"/>
      <c r="F94" s="38"/>
    </row>
    <row r="95" spans="2:6" x14ac:dyDescent="0.2">
      <c r="B95" s="38"/>
      <c r="C95" s="39"/>
      <c r="F95" s="38"/>
    </row>
    <row r="96" spans="2:6" x14ac:dyDescent="0.2">
      <c r="B96" s="38"/>
      <c r="C96" s="39"/>
      <c r="F96" s="38"/>
    </row>
    <row r="97" spans="2:6" x14ac:dyDescent="0.2">
      <c r="B97" s="38"/>
      <c r="C97" s="39"/>
      <c r="F97" s="38"/>
    </row>
    <row r="98" spans="2:6" x14ac:dyDescent="0.2">
      <c r="B98" s="38"/>
      <c r="C98" s="39"/>
      <c r="F98" s="38"/>
    </row>
    <row r="99" spans="2:6" x14ac:dyDescent="0.2">
      <c r="B99" s="38"/>
      <c r="C99" s="39"/>
      <c r="F99" s="38"/>
    </row>
    <row r="100" spans="2:6" x14ac:dyDescent="0.2">
      <c r="B100" s="38"/>
      <c r="C100" s="39"/>
      <c r="F100" s="38"/>
    </row>
    <row r="101" spans="2:6" x14ac:dyDescent="0.2">
      <c r="B101" s="38"/>
      <c r="C101" s="39"/>
      <c r="F101" s="38"/>
    </row>
    <row r="102" spans="2:6" x14ac:dyDescent="0.2">
      <c r="B102" s="38"/>
      <c r="C102" s="39"/>
      <c r="F102" s="38"/>
    </row>
    <row r="103" spans="2:6" x14ac:dyDescent="0.2">
      <c r="B103" s="38"/>
      <c r="C103" s="39"/>
      <c r="F103" s="38"/>
    </row>
    <row r="104" spans="2:6" x14ac:dyDescent="0.2">
      <c r="B104" s="38"/>
      <c r="C104" s="39"/>
      <c r="F104" s="38"/>
    </row>
    <row r="105" spans="2:6" x14ac:dyDescent="0.2">
      <c r="B105" s="38"/>
      <c r="C105" s="39"/>
      <c r="F105" s="38"/>
    </row>
    <row r="106" spans="2:6" x14ac:dyDescent="0.2">
      <c r="B106" s="38"/>
      <c r="C106" s="39"/>
      <c r="F106" s="38"/>
    </row>
    <row r="107" spans="2:6" x14ac:dyDescent="0.2">
      <c r="B107" s="38"/>
      <c r="C107" s="39"/>
      <c r="F107" s="38"/>
    </row>
    <row r="108" spans="2:6" x14ac:dyDescent="0.2">
      <c r="B108" s="38"/>
      <c r="C108" s="39"/>
      <c r="F108" s="38"/>
    </row>
    <row r="109" spans="2:6" x14ac:dyDescent="0.2">
      <c r="B109" s="38"/>
      <c r="C109" s="39"/>
      <c r="F109" s="38"/>
    </row>
    <row r="110" spans="2:6" x14ac:dyDescent="0.2">
      <c r="B110" s="38"/>
      <c r="C110" s="39"/>
      <c r="F110" s="38"/>
    </row>
    <row r="111" spans="2:6" x14ac:dyDescent="0.2">
      <c r="B111" s="38"/>
      <c r="C111" s="39"/>
      <c r="F111" s="38"/>
    </row>
    <row r="112" spans="2:6" x14ac:dyDescent="0.2">
      <c r="B112" s="38"/>
      <c r="C112" s="39"/>
      <c r="F112" s="38"/>
    </row>
    <row r="113" spans="2:6" x14ac:dyDescent="0.2">
      <c r="B113" s="38"/>
      <c r="C113" s="39"/>
      <c r="F113" s="38"/>
    </row>
    <row r="114" spans="2:6" x14ac:dyDescent="0.2">
      <c r="B114" s="38"/>
      <c r="C114" s="39"/>
      <c r="F114" s="38"/>
    </row>
    <row r="115" spans="2:6" x14ac:dyDescent="0.2">
      <c r="B115" s="38"/>
      <c r="C115" s="39"/>
      <c r="F115" s="38"/>
    </row>
    <row r="116" spans="2:6" x14ac:dyDescent="0.2">
      <c r="B116" s="38"/>
      <c r="C116" s="39"/>
      <c r="F116" s="38"/>
    </row>
    <row r="117" spans="2:6" x14ac:dyDescent="0.2">
      <c r="B117" s="38"/>
      <c r="C117" s="39"/>
      <c r="F117" s="38"/>
    </row>
    <row r="118" spans="2:6" x14ac:dyDescent="0.2">
      <c r="B118" s="38"/>
      <c r="C118" s="39"/>
      <c r="F118" s="38"/>
    </row>
    <row r="119" spans="2:6" x14ac:dyDescent="0.2">
      <c r="B119" s="38"/>
      <c r="C119" s="39"/>
      <c r="F119" s="38"/>
    </row>
    <row r="120" spans="2:6" x14ac:dyDescent="0.2">
      <c r="B120" s="38"/>
      <c r="C120" s="39"/>
      <c r="F120" s="38"/>
    </row>
    <row r="121" spans="2:6" x14ac:dyDescent="0.2">
      <c r="B121" s="38"/>
      <c r="C121" s="39"/>
      <c r="F121" s="38"/>
    </row>
    <row r="122" spans="2:6" x14ac:dyDescent="0.2">
      <c r="B122" s="38"/>
      <c r="C122" s="39"/>
      <c r="F122" s="38"/>
    </row>
    <row r="123" spans="2:6" x14ac:dyDescent="0.2">
      <c r="B123" s="38"/>
      <c r="C123" s="39"/>
      <c r="F123" s="38"/>
    </row>
    <row r="124" spans="2:6" x14ac:dyDescent="0.2">
      <c r="B124" s="38"/>
      <c r="C124" s="39"/>
      <c r="F124" s="38"/>
    </row>
    <row r="125" spans="2:6" x14ac:dyDescent="0.2">
      <c r="B125" s="38"/>
      <c r="C125" s="39"/>
      <c r="F125" s="38"/>
    </row>
    <row r="126" spans="2:6" x14ac:dyDescent="0.2">
      <c r="B126" s="38"/>
      <c r="C126" s="39"/>
      <c r="F126" s="38"/>
    </row>
    <row r="127" spans="2:6" x14ac:dyDescent="0.2">
      <c r="B127" s="38"/>
      <c r="C127" s="39"/>
      <c r="F127" s="38"/>
    </row>
    <row r="128" spans="2:6" x14ac:dyDescent="0.2">
      <c r="B128" s="38"/>
      <c r="C128" s="39"/>
      <c r="F128" s="38"/>
    </row>
    <row r="129" spans="2:6" x14ac:dyDescent="0.2">
      <c r="B129" s="38"/>
      <c r="C129" s="39"/>
      <c r="F129" s="38"/>
    </row>
    <row r="130" spans="2:6" x14ac:dyDescent="0.2">
      <c r="B130" s="38"/>
      <c r="C130" s="39"/>
      <c r="F130" s="38"/>
    </row>
    <row r="131" spans="2:6" x14ac:dyDescent="0.2">
      <c r="B131" s="38"/>
      <c r="C131" s="39"/>
      <c r="F131" s="38"/>
    </row>
    <row r="132" spans="2:6" x14ac:dyDescent="0.2">
      <c r="B132" s="38"/>
      <c r="C132" s="39"/>
      <c r="F132" s="38"/>
    </row>
    <row r="133" spans="2:6" x14ac:dyDescent="0.2">
      <c r="B133" s="38"/>
      <c r="C133" s="39"/>
      <c r="F133" s="38"/>
    </row>
    <row r="134" spans="2:6" x14ac:dyDescent="0.2">
      <c r="B134" s="38"/>
      <c r="C134" s="39"/>
      <c r="F134" s="38"/>
    </row>
    <row r="135" spans="2:6" x14ac:dyDescent="0.2">
      <c r="B135" s="38"/>
      <c r="C135" s="39"/>
      <c r="F135" s="38"/>
    </row>
    <row r="136" spans="2:6" x14ac:dyDescent="0.2">
      <c r="B136" s="38"/>
      <c r="C136" s="39"/>
      <c r="F136" s="38"/>
    </row>
    <row r="137" spans="2:6" x14ac:dyDescent="0.2">
      <c r="B137" s="38"/>
      <c r="C137" s="39"/>
      <c r="F137" s="38"/>
    </row>
    <row r="138" spans="2:6" x14ac:dyDescent="0.2">
      <c r="B138" s="38"/>
      <c r="C138" s="39"/>
      <c r="F138" s="38"/>
    </row>
    <row r="139" spans="2:6" x14ac:dyDescent="0.2">
      <c r="B139" s="38"/>
      <c r="C139" s="39"/>
      <c r="F139" s="38"/>
    </row>
    <row r="140" spans="2:6" x14ac:dyDescent="0.2">
      <c r="B140" s="38"/>
      <c r="C140" s="39"/>
      <c r="F140" s="38"/>
    </row>
    <row r="141" spans="2:6" x14ac:dyDescent="0.2">
      <c r="B141" s="38"/>
      <c r="C141" s="39"/>
      <c r="F141" s="38"/>
    </row>
    <row r="142" spans="2:6" x14ac:dyDescent="0.2">
      <c r="B142" s="38"/>
      <c r="C142" s="39"/>
      <c r="F142" s="38"/>
    </row>
    <row r="143" spans="2:6" x14ac:dyDescent="0.2">
      <c r="B143" s="38"/>
      <c r="C143" s="39"/>
      <c r="F143" s="38"/>
    </row>
    <row r="144" spans="2:6" x14ac:dyDescent="0.2">
      <c r="B144" s="38"/>
      <c r="C144" s="39"/>
      <c r="F144" s="38"/>
    </row>
    <row r="145" spans="2:6" x14ac:dyDescent="0.2">
      <c r="B145" s="38"/>
      <c r="C145" s="39"/>
      <c r="F145" s="38"/>
    </row>
    <row r="146" spans="2:6" x14ac:dyDescent="0.2">
      <c r="B146" s="38"/>
      <c r="C146" s="39"/>
      <c r="F146" s="38"/>
    </row>
    <row r="147" spans="2:6" x14ac:dyDescent="0.2">
      <c r="B147" s="38"/>
      <c r="C147" s="39"/>
      <c r="F147" s="38"/>
    </row>
    <row r="148" spans="2:6" x14ac:dyDescent="0.2">
      <c r="B148" s="38"/>
      <c r="C148" s="39"/>
      <c r="F148" s="38"/>
    </row>
    <row r="149" spans="2:6" x14ac:dyDescent="0.2">
      <c r="B149" s="38"/>
      <c r="C149" s="39"/>
      <c r="F149" s="38"/>
    </row>
    <row r="150" spans="2:6" x14ac:dyDescent="0.2">
      <c r="B150" s="38"/>
      <c r="C150" s="39"/>
      <c r="F150" s="38"/>
    </row>
    <row r="151" spans="2:6" x14ac:dyDescent="0.2">
      <c r="B151" s="38"/>
      <c r="C151" s="39"/>
      <c r="F151" s="38"/>
    </row>
    <row r="152" spans="2:6" x14ac:dyDescent="0.2">
      <c r="B152" s="38"/>
      <c r="C152" s="39"/>
      <c r="F152" s="38"/>
    </row>
    <row r="153" spans="2:6" x14ac:dyDescent="0.2">
      <c r="B153" s="38"/>
      <c r="C153" s="39"/>
      <c r="F153" s="38"/>
    </row>
    <row r="154" spans="2:6" x14ac:dyDescent="0.2">
      <c r="B154" s="38"/>
      <c r="C154" s="39"/>
      <c r="F154" s="38"/>
    </row>
    <row r="155" spans="2:6" x14ac:dyDescent="0.2">
      <c r="B155" s="38"/>
      <c r="C155" s="39"/>
      <c r="F155" s="38"/>
    </row>
    <row r="156" spans="2:6" x14ac:dyDescent="0.2">
      <c r="B156" s="38"/>
      <c r="C156" s="39"/>
      <c r="F156" s="38"/>
    </row>
    <row r="157" spans="2:6" x14ac:dyDescent="0.2">
      <c r="B157" s="38"/>
      <c r="C157" s="39"/>
      <c r="F157" s="38"/>
    </row>
    <row r="158" spans="2:6" x14ac:dyDescent="0.2">
      <c r="B158" s="38"/>
      <c r="C158" s="39"/>
      <c r="F158" s="38"/>
    </row>
    <row r="159" spans="2:6" x14ac:dyDescent="0.2">
      <c r="B159" s="38"/>
      <c r="C159" s="39"/>
      <c r="F159" s="38"/>
    </row>
    <row r="160" spans="2:6" x14ac:dyDescent="0.2">
      <c r="B160" s="38"/>
      <c r="C160" s="39"/>
      <c r="F160" s="38"/>
    </row>
    <row r="161" spans="2:6" x14ac:dyDescent="0.2">
      <c r="B161" s="38"/>
      <c r="C161" s="39"/>
      <c r="F161" s="38"/>
    </row>
    <row r="162" spans="2:6" x14ac:dyDescent="0.2">
      <c r="B162" s="38"/>
      <c r="C162" s="39"/>
      <c r="F162" s="38"/>
    </row>
    <row r="163" spans="2:6" x14ac:dyDescent="0.2">
      <c r="B163" s="38"/>
      <c r="C163" s="39"/>
      <c r="F163" s="38"/>
    </row>
    <row r="164" spans="2:6" x14ac:dyDescent="0.2">
      <c r="B164" s="38"/>
      <c r="C164" s="39"/>
      <c r="F164" s="38"/>
    </row>
    <row r="165" spans="2:6" x14ac:dyDescent="0.2">
      <c r="B165" s="38"/>
      <c r="C165" s="39"/>
      <c r="F165" s="38"/>
    </row>
    <row r="166" spans="2:6" x14ac:dyDescent="0.2">
      <c r="B166" s="38"/>
      <c r="C166" s="39"/>
      <c r="F166" s="38"/>
    </row>
    <row r="167" spans="2:6" x14ac:dyDescent="0.2">
      <c r="B167" s="38"/>
      <c r="C167" s="39"/>
      <c r="F167" s="38"/>
    </row>
    <row r="168" spans="2:6" x14ac:dyDescent="0.2">
      <c r="B168" s="38"/>
      <c r="C168" s="39"/>
      <c r="F168" s="38"/>
    </row>
    <row r="169" spans="2:6" x14ac:dyDescent="0.2">
      <c r="B169" s="38"/>
      <c r="C169" s="39"/>
      <c r="F169" s="38"/>
    </row>
    <row r="170" spans="2:6" x14ac:dyDescent="0.2">
      <c r="B170" s="38"/>
      <c r="C170" s="39"/>
      <c r="F170" s="38"/>
    </row>
    <row r="171" spans="2:6" x14ac:dyDescent="0.2">
      <c r="B171" s="38"/>
      <c r="C171" s="39"/>
      <c r="F171" s="38"/>
    </row>
    <row r="172" spans="2:6" x14ac:dyDescent="0.2">
      <c r="B172" s="38"/>
      <c r="C172" s="39"/>
      <c r="F172" s="38"/>
    </row>
    <row r="173" spans="2:6" x14ac:dyDescent="0.2">
      <c r="B173" s="38"/>
      <c r="C173" s="39"/>
      <c r="F173" s="38"/>
    </row>
    <row r="174" spans="2:6" x14ac:dyDescent="0.2">
      <c r="B174" s="38"/>
      <c r="C174" s="39"/>
      <c r="F174" s="38"/>
    </row>
    <row r="175" spans="2:6" x14ac:dyDescent="0.2">
      <c r="B175" s="38"/>
      <c r="C175" s="39"/>
      <c r="F175" s="38"/>
    </row>
    <row r="176" spans="2:6" x14ac:dyDescent="0.2">
      <c r="B176" s="38"/>
      <c r="C176" s="39"/>
      <c r="F176" s="38"/>
    </row>
    <row r="177" spans="2:6" x14ac:dyDescent="0.2">
      <c r="B177" s="38"/>
      <c r="C177" s="39"/>
      <c r="F177" s="38"/>
    </row>
    <row r="178" spans="2:6" x14ac:dyDescent="0.2">
      <c r="B178" s="38"/>
      <c r="C178" s="39"/>
      <c r="F178" s="38"/>
    </row>
    <row r="179" spans="2:6" x14ac:dyDescent="0.2">
      <c r="B179" s="38"/>
      <c r="C179" s="39"/>
      <c r="F179" s="38"/>
    </row>
    <row r="180" spans="2:6" x14ac:dyDescent="0.2">
      <c r="B180" s="38"/>
      <c r="C180" s="39"/>
      <c r="F180" s="38"/>
    </row>
    <row r="181" spans="2:6" x14ac:dyDescent="0.2">
      <c r="B181" s="38"/>
      <c r="C181" s="39"/>
      <c r="F181" s="38"/>
    </row>
    <row r="182" spans="2:6" x14ac:dyDescent="0.2">
      <c r="B182" s="38"/>
      <c r="C182" s="39"/>
      <c r="F182" s="38"/>
    </row>
    <row r="183" spans="2:6" x14ac:dyDescent="0.2">
      <c r="B183" s="38"/>
      <c r="C183" s="39"/>
      <c r="F183" s="38"/>
    </row>
    <row r="184" spans="2:6" x14ac:dyDescent="0.2">
      <c r="B184" s="38"/>
      <c r="C184" s="39"/>
      <c r="F184" s="38"/>
    </row>
    <row r="185" spans="2:6" x14ac:dyDescent="0.2">
      <c r="B185" s="38"/>
      <c r="C185" s="39"/>
      <c r="F185" s="38"/>
    </row>
    <row r="186" spans="2:6" x14ac:dyDescent="0.2">
      <c r="B186" s="38"/>
      <c r="C186" s="39"/>
      <c r="F186" s="38"/>
    </row>
    <row r="187" spans="2:6" x14ac:dyDescent="0.2">
      <c r="B187" s="38"/>
      <c r="C187" s="39"/>
      <c r="F187" s="38"/>
    </row>
    <row r="188" spans="2:6" x14ac:dyDescent="0.2">
      <c r="B188" s="38"/>
      <c r="C188" s="39"/>
      <c r="F188" s="38"/>
    </row>
    <row r="189" spans="2:6" x14ac:dyDescent="0.2">
      <c r="B189" s="38"/>
      <c r="C189" s="39"/>
      <c r="F189" s="38"/>
    </row>
    <row r="190" spans="2:6" x14ac:dyDescent="0.2">
      <c r="B190" s="38"/>
      <c r="C190" s="39"/>
      <c r="F190" s="38"/>
    </row>
    <row r="191" spans="2:6" x14ac:dyDescent="0.2">
      <c r="B191" s="38"/>
      <c r="C191" s="39"/>
      <c r="F191" s="38"/>
    </row>
    <row r="192" spans="2:6" x14ac:dyDescent="0.2">
      <c r="B192" s="38"/>
      <c r="C192" s="39"/>
      <c r="F192" s="38"/>
    </row>
    <row r="193" spans="2:6" x14ac:dyDescent="0.2">
      <c r="B193" s="38"/>
      <c r="C193" s="39"/>
      <c r="F193" s="38"/>
    </row>
    <row r="194" spans="2:6" x14ac:dyDescent="0.2">
      <c r="B194" s="38"/>
      <c r="C194" s="39"/>
      <c r="F194" s="38"/>
    </row>
    <row r="195" spans="2:6" x14ac:dyDescent="0.2">
      <c r="B195" s="38"/>
      <c r="C195" s="39"/>
      <c r="F195" s="38"/>
    </row>
    <row r="196" spans="2:6" x14ac:dyDescent="0.2">
      <c r="B196" s="38"/>
      <c r="C196" s="39"/>
      <c r="F196" s="38"/>
    </row>
    <row r="197" spans="2:6" x14ac:dyDescent="0.2">
      <c r="B197" s="38"/>
      <c r="C197" s="39"/>
      <c r="F197" s="38"/>
    </row>
    <row r="198" spans="2:6" x14ac:dyDescent="0.2">
      <c r="B198" s="38"/>
      <c r="C198" s="39"/>
      <c r="F198" s="38"/>
    </row>
    <row r="199" spans="2:6" x14ac:dyDescent="0.2">
      <c r="B199" s="38"/>
      <c r="C199" s="39"/>
      <c r="F199" s="38"/>
    </row>
    <row r="200" spans="2:6" x14ac:dyDescent="0.2">
      <c r="B200" s="38"/>
      <c r="C200" s="39"/>
      <c r="F200" s="38"/>
    </row>
    <row r="201" spans="2:6" x14ac:dyDescent="0.2">
      <c r="B201" s="38"/>
      <c r="C201" s="39"/>
      <c r="F201" s="38"/>
    </row>
    <row r="202" spans="2:6" x14ac:dyDescent="0.2">
      <c r="B202" s="38"/>
      <c r="C202" s="39"/>
      <c r="F202" s="38"/>
    </row>
    <row r="203" spans="2:6" x14ac:dyDescent="0.2">
      <c r="B203" s="38"/>
      <c r="C203" s="39"/>
      <c r="F203" s="38"/>
    </row>
    <row r="204" spans="2:6" x14ac:dyDescent="0.2">
      <c r="B204" s="38"/>
      <c r="C204" s="39"/>
      <c r="F204" s="38"/>
    </row>
    <row r="205" spans="2:6" x14ac:dyDescent="0.2">
      <c r="B205" s="38"/>
      <c r="C205" s="39"/>
      <c r="F205" s="38"/>
    </row>
    <row r="206" spans="2:6" x14ac:dyDescent="0.2">
      <c r="B206" s="38"/>
      <c r="C206" s="39"/>
      <c r="F206" s="38"/>
    </row>
    <row r="207" spans="2:6" x14ac:dyDescent="0.2">
      <c r="B207" s="38"/>
      <c r="C207" s="39"/>
      <c r="F207" s="38"/>
    </row>
    <row r="208" spans="2:6" x14ac:dyDescent="0.2">
      <c r="B208" s="38"/>
      <c r="C208" s="39"/>
      <c r="F208" s="38"/>
    </row>
    <row r="209" spans="2:6" x14ac:dyDescent="0.2">
      <c r="B209" s="38"/>
      <c r="C209" s="39"/>
      <c r="F209" s="38"/>
    </row>
    <row r="210" spans="2:6" x14ac:dyDescent="0.2">
      <c r="B210" s="38"/>
      <c r="C210" s="39"/>
      <c r="F210" s="38"/>
    </row>
    <row r="211" spans="2:6" x14ac:dyDescent="0.2">
      <c r="B211" s="38"/>
      <c r="C211" s="39"/>
      <c r="F211" s="38"/>
    </row>
    <row r="212" spans="2:6" x14ac:dyDescent="0.2">
      <c r="B212" s="38"/>
      <c r="C212" s="39"/>
      <c r="F212" s="38"/>
    </row>
    <row r="213" spans="2:6" x14ac:dyDescent="0.2">
      <c r="B213" s="38"/>
      <c r="C213" s="39"/>
      <c r="F213" s="38"/>
    </row>
    <row r="214" spans="2:6" x14ac:dyDescent="0.2">
      <c r="B214" s="38"/>
      <c r="C214" s="39"/>
      <c r="F214" s="38"/>
    </row>
    <row r="215" spans="2:6" x14ac:dyDescent="0.2">
      <c r="B215" s="38"/>
      <c r="C215" s="39"/>
      <c r="F215" s="38"/>
    </row>
    <row r="216" spans="2:6" x14ac:dyDescent="0.2">
      <c r="B216" s="38"/>
      <c r="C216" s="39"/>
      <c r="F216" s="38"/>
    </row>
    <row r="217" spans="2:6" x14ac:dyDescent="0.2">
      <c r="B217" s="38"/>
      <c r="C217" s="39"/>
      <c r="F217" s="38"/>
    </row>
    <row r="218" spans="2:6" x14ac:dyDescent="0.2">
      <c r="B218" s="38"/>
      <c r="C218" s="39"/>
      <c r="F218" s="38"/>
    </row>
    <row r="219" spans="2:6" x14ac:dyDescent="0.2">
      <c r="B219" s="38"/>
      <c r="C219" s="39"/>
      <c r="F219" s="38"/>
    </row>
    <row r="220" spans="2:6" x14ac:dyDescent="0.2">
      <c r="B220" s="38"/>
      <c r="C220" s="39"/>
      <c r="F220" s="38"/>
    </row>
    <row r="221" spans="2:6" x14ac:dyDescent="0.2">
      <c r="B221" s="38"/>
      <c r="C221" s="39"/>
      <c r="F221" s="38"/>
    </row>
    <row r="222" spans="2:6" x14ac:dyDescent="0.2">
      <c r="B222" s="38"/>
      <c r="C222" s="39"/>
      <c r="F222" s="38"/>
    </row>
    <row r="223" spans="2:6" x14ac:dyDescent="0.2">
      <c r="B223" s="38"/>
      <c r="C223" s="39"/>
      <c r="F223" s="38"/>
    </row>
    <row r="224" spans="2:6" x14ac:dyDescent="0.2">
      <c r="B224" s="38"/>
      <c r="C224" s="39"/>
      <c r="F224" s="38"/>
    </row>
    <row r="225" spans="2:6" x14ac:dyDescent="0.2">
      <c r="B225" s="38"/>
      <c r="C225" s="39"/>
      <c r="F225" s="38"/>
    </row>
    <row r="226" spans="2:6" x14ac:dyDescent="0.2">
      <c r="B226" s="38"/>
      <c r="C226" s="39"/>
      <c r="F226" s="38"/>
    </row>
    <row r="227" spans="2:6" x14ac:dyDescent="0.2">
      <c r="B227" s="38"/>
      <c r="C227" s="39"/>
      <c r="F227" s="38"/>
    </row>
    <row r="228" spans="2:6" x14ac:dyDescent="0.2">
      <c r="B228" s="38"/>
      <c r="C228" s="39"/>
      <c r="F228" s="38"/>
    </row>
    <row r="229" spans="2:6" x14ac:dyDescent="0.2">
      <c r="B229" s="38"/>
      <c r="C229" s="39"/>
      <c r="F229" s="38"/>
    </row>
    <row r="230" spans="2:6" x14ac:dyDescent="0.2">
      <c r="B230" s="38"/>
      <c r="C230" s="39"/>
      <c r="F230" s="38"/>
    </row>
    <row r="231" spans="2:6" x14ac:dyDescent="0.2">
      <c r="B231" s="38"/>
      <c r="C231" s="39"/>
      <c r="F231" s="38"/>
    </row>
    <row r="232" spans="2:6" x14ac:dyDescent="0.2">
      <c r="B232" s="38"/>
      <c r="C232" s="39"/>
      <c r="F232" s="38"/>
    </row>
    <row r="233" spans="2:6" x14ac:dyDescent="0.2">
      <c r="B233" s="38"/>
      <c r="C233" s="39"/>
      <c r="F233" s="38"/>
    </row>
    <row r="234" spans="2:6" x14ac:dyDescent="0.2">
      <c r="B234" s="38"/>
      <c r="C234" s="39"/>
      <c r="F234" s="38"/>
    </row>
    <row r="235" spans="2:6" x14ac:dyDescent="0.2">
      <c r="B235" s="38"/>
      <c r="C235" s="39"/>
      <c r="F235" s="38"/>
    </row>
    <row r="236" spans="2:6" x14ac:dyDescent="0.2">
      <c r="B236" s="38"/>
      <c r="C236" s="39"/>
      <c r="F236" s="38"/>
    </row>
    <row r="237" spans="2:6" x14ac:dyDescent="0.2">
      <c r="B237" s="38"/>
      <c r="C237" s="39"/>
      <c r="F237" s="38"/>
    </row>
    <row r="238" spans="2:6" x14ac:dyDescent="0.2">
      <c r="B238" s="38"/>
      <c r="C238" s="39"/>
      <c r="F238" s="38"/>
    </row>
    <row r="239" spans="2:6" x14ac:dyDescent="0.2">
      <c r="B239" s="38"/>
      <c r="C239" s="39"/>
      <c r="F239" s="38"/>
    </row>
    <row r="240" spans="2:6" x14ac:dyDescent="0.2">
      <c r="B240" s="38"/>
      <c r="C240" s="39"/>
      <c r="F240" s="38"/>
    </row>
    <row r="241" spans="2:6" x14ac:dyDescent="0.2">
      <c r="B241" s="38"/>
      <c r="C241" s="39"/>
      <c r="F241" s="38"/>
    </row>
    <row r="242" spans="2:6" x14ac:dyDescent="0.2">
      <c r="B242" s="38"/>
      <c r="C242" s="39"/>
      <c r="F242" s="38"/>
    </row>
    <row r="243" spans="2:6" x14ac:dyDescent="0.2">
      <c r="B243" s="38"/>
      <c r="C243" s="39"/>
      <c r="F243" s="38"/>
    </row>
    <row r="244" spans="2:6" x14ac:dyDescent="0.2">
      <c r="B244" s="38"/>
      <c r="C244" s="39"/>
      <c r="F244" s="38"/>
    </row>
    <row r="245" spans="2:6" x14ac:dyDescent="0.2">
      <c r="B245" s="38"/>
      <c r="C245" s="39"/>
      <c r="F245" s="38"/>
    </row>
    <row r="246" spans="2:6" x14ac:dyDescent="0.2">
      <c r="B246" s="38"/>
      <c r="C246" s="39"/>
      <c r="F246" s="38"/>
    </row>
    <row r="247" spans="2:6" x14ac:dyDescent="0.2">
      <c r="B247" s="38"/>
      <c r="C247" s="39"/>
      <c r="F247" s="38"/>
    </row>
    <row r="248" spans="2:6" x14ac:dyDescent="0.2">
      <c r="B248" s="38"/>
      <c r="C248" s="39"/>
      <c r="F248" s="38"/>
    </row>
    <row r="249" spans="2:6" x14ac:dyDescent="0.2">
      <c r="B249" s="38"/>
      <c r="C249" s="39"/>
      <c r="F249" s="38"/>
    </row>
    <row r="250" spans="2:6" x14ac:dyDescent="0.2">
      <c r="B250" s="38"/>
      <c r="C250" s="39"/>
      <c r="F250" s="38"/>
    </row>
    <row r="251" spans="2:6" x14ac:dyDescent="0.2">
      <c r="B251" s="38"/>
      <c r="C251" s="39"/>
      <c r="F251" s="38"/>
    </row>
    <row r="252" spans="2:6" x14ac:dyDescent="0.2">
      <c r="B252" s="38"/>
      <c r="C252" s="39"/>
      <c r="F252" s="38"/>
    </row>
    <row r="253" spans="2:6" x14ac:dyDescent="0.2">
      <c r="B253" s="38"/>
      <c r="C253" s="39"/>
      <c r="F253" s="38"/>
    </row>
    <row r="254" spans="2:6" x14ac:dyDescent="0.2">
      <c r="B254" s="38"/>
      <c r="C254" s="39"/>
      <c r="F254" s="38"/>
    </row>
    <row r="255" spans="2:6" x14ac:dyDescent="0.2">
      <c r="B255" s="38"/>
      <c r="C255" s="39"/>
      <c r="F255" s="38"/>
    </row>
    <row r="256" spans="2:6" x14ac:dyDescent="0.2">
      <c r="B256" s="38"/>
      <c r="C256" s="39"/>
      <c r="F256" s="38"/>
    </row>
    <row r="257" spans="2:6" x14ac:dyDescent="0.2">
      <c r="B257" s="38"/>
      <c r="C257" s="39"/>
      <c r="F257" s="38"/>
    </row>
    <row r="258" spans="2:6" x14ac:dyDescent="0.2">
      <c r="B258" s="38"/>
      <c r="C258" s="39"/>
      <c r="F258" s="38"/>
    </row>
    <row r="259" spans="2:6" x14ac:dyDescent="0.2">
      <c r="B259" s="38"/>
      <c r="C259" s="39"/>
      <c r="F259" s="38"/>
    </row>
    <row r="260" spans="2:6" x14ac:dyDescent="0.2">
      <c r="B260" s="38"/>
      <c r="C260" s="39"/>
      <c r="F260" s="38"/>
    </row>
    <row r="261" spans="2:6" x14ac:dyDescent="0.2">
      <c r="B261" s="38"/>
      <c r="C261" s="39"/>
      <c r="F261" s="38"/>
    </row>
    <row r="262" spans="2:6" x14ac:dyDescent="0.2">
      <c r="B262" s="38"/>
      <c r="C262" s="39"/>
      <c r="F262" s="38"/>
    </row>
    <row r="263" spans="2:6" x14ac:dyDescent="0.2">
      <c r="B263" s="38"/>
      <c r="C263" s="39"/>
      <c r="F263" s="38"/>
    </row>
    <row r="264" spans="2:6" x14ac:dyDescent="0.2">
      <c r="B264" s="38"/>
      <c r="C264" s="39"/>
      <c r="F264" s="38"/>
    </row>
    <row r="265" spans="2:6" x14ac:dyDescent="0.2">
      <c r="B265" s="38"/>
      <c r="C265" s="39"/>
      <c r="F265" s="38"/>
    </row>
    <row r="266" spans="2:6" x14ac:dyDescent="0.2">
      <c r="B266" s="38"/>
      <c r="C266" s="39"/>
      <c r="F266" s="38"/>
    </row>
    <row r="267" spans="2:6" x14ac:dyDescent="0.2">
      <c r="B267" s="38"/>
      <c r="C267" s="39"/>
      <c r="F267" s="38"/>
    </row>
    <row r="268" spans="2:6" x14ac:dyDescent="0.2">
      <c r="B268" s="38"/>
      <c r="C268" s="39"/>
      <c r="F268" s="38"/>
    </row>
    <row r="269" spans="2:6" x14ac:dyDescent="0.2">
      <c r="B269" s="38"/>
      <c r="C269" s="39"/>
      <c r="F269" s="38"/>
    </row>
    <row r="270" spans="2:6" x14ac:dyDescent="0.2">
      <c r="B270" s="38"/>
      <c r="C270" s="39"/>
      <c r="F270" s="38"/>
    </row>
    <row r="271" spans="2:6" x14ac:dyDescent="0.2">
      <c r="B271" s="38"/>
      <c r="C271" s="39"/>
      <c r="F271" s="38"/>
    </row>
    <row r="272" spans="2:6" x14ac:dyDescent="0.2">
      <c r="B272" s="38"/>
      <c r="C272" s="39"/>
      <c r="F272" s="38"/>
    </row>
    <row r="273" spans="2:6" x14ac:dyDescent="0.2">
      <c r="B273" s="38"/>
      <c r="C273" s="39"/>
      <c r="F273" s="38"/>
    </row>
    <row r="274" spans="2:6" x14ac:dyDescent="0.2">
      <c r="B274" s="38"/>
      <c r="C274" s="39"/>
      <c r="F274" s="38"/>
    </row>
    <row r="275" spans="2:6" x14ac:dyDescent="0.2">
      <c r="B275" s="38"/>
      <c r="C275" s="39"/>
      <c r="F275" s="38"/>
    </row>
    <row r="276" spans="2:6" x14ac:dyDescent="0.2">
      <c r="B276" s="38"/>
      <c r="C276" s="39"/>
      <c r="F276" s="38"/>
    </row>
    <row r="277" spans="2:6" x14ac:dyDescent="0.2">
      <c r="B277" s="38"/>
      <c r="C277" s="39"/>
      <c r="F277" s="38"/>
    </row>
    <row r="278" spans="2:6" x14ac:dyDescent="0.2">
      <c r="B278" s="38"/>
      <c r="C278" s="39"/>
      <c r="F278" s="38"/>
    </row>
    <row r="279" spans="2:6" x14ac:dyDescent="0.2">
      <c r="B279" s="38"/>
      <c r="C279" s="39"/>
      <c r="F279" s="38"/>
    </row>
    <row r="280" spans="2:6" x14ac:dyDescent="0.2">
      <c r="B280" s="38"/>
      <c r="C280" s="39"/>
      <c r="F280" s="38"/>
    </row>
    <row r="281" spans="2:6" x14ac:dyDescent="0.2">
      <c r="B281" s="38"/>
      <c r="C281" s="39"/>
      <c r="F281" s="38"/>
    </row>
    <row r="282" spans="2:6" x14ac:dyDescent="0.2">
      <c r="B282" s="38"/>
      <c r="C282" s="39"/>
      <c r="F282" s="38"/>
    </row>
    <row r="283" spans="2:6" x14ac:dyDescent="0.2">
      <c r="B283" s="38"/>
      <c r="C283" s="39"/>
      <c r="F283" s="38"/>
    </row>
    <row r="284" spans="2:6" x14ac:dyDescent="0.2">
      <c r="B284" s="38"/>
      <c r="C284" s="39"/>
      <c r="F284" s="38"/>
    </row>
    <row r="285" spans="2:6" x14ac:dyDescent="0.2">
      <c r="B285" s="38"/>
      <c r="C285" s="39"/>
      <c r="F285" s="38"/>
    </row>
    <row r="286" spans="2:6" x14ac:dyDescent="0.2">
      <c r="B286" s="38"/>
      <c r="C286" s="39"/>
      <c r="F286" s="38"/>
    </row>
    <row r="287" spans="2:6" x14ac:dyDescent="0.2">
      <c r="B287" s="38"/>
      <c r="C287" s="39"/>
      <c r="F287" s="38"/>
    </row>
    <row r="288" spans="2:6" x14ac:dyDescent="0.2">
      <c r="B288" s="38"/>
      <c r="C288" s="39"/>
      <c r="F288" s="38"/>
    </row>
    <row r="289" spans="2:6" x14ac:dyDescent="0.2">
      <c r="B289" s="38"/>
      <c r="C289" s="39"/>
      <c r="F289" s="38"/>
    </row>
    <row r="290" spans="2:6" x14ac:dyDescent="0.2">
      <c r="B290" s="38"/>
      <c r="C290" s="39"/>
      <c r="F290" s="38"/>
    </row>
    <row r="291" spans="2:6" x14ac:dyDescent="0.2">
      <c r="B291" s="38"/>
      <c r="C291" s="39"/>
      <c r="F291" s="38"/>
    </row>
    <row r="292" spans="2:6" x14ac:dyDescent="0.2">
      <c r="B292" s="38"/>
      <c r="C292" s="39"/>
      <c r="F292" s="38"/>
    </row>
    <row r="293" spans="2:6" x14ac:dyDescent="0.2">
      <c r="B293" s="38"/>
      <c r="C293" s="39"/>
      <c r="F293" s="38"/>
    </row>
    <row r="294" spans="2:6" x14ac:dyDescent="0.2">
      <c r="B294" s="38"/>
      <c r="C294" s="39"/>
      <c r="F294" s="38"/>
    </row>
    <row r="295" spans="2:6" x14ac:dyDescent="0.2">
      <c r="B295" s="38"/>
      <c r="C295" s="39"/>
      <c r="F295" s="38"/>
    </row>
    <row r="296" spans="2:6" x14ac:dyDescent="0.2">
      <c r="B296" s="38"/>
      <c r="C296" s="39"/>
      <c r="F296" s="38"/>
    </row>
    <row r="297" spans="2:6" x14ac:dyDescent="0.2">
      <c r="B297" s="38"/>
      <c r="C297" s="39"/>
      <c r="F297" s="38"/>
    </row>
    <row r="298" spans="2:6" x14ac:dyDescent="0.2">
      <c r="B298" s="38"/>
      <c r="C298" s="39"/>
      <c r="F298" s="38"/>
    </row>
    <row r="299" spans="2:6" x14ac:dyDescent="0.2">
      <c r="B299" s="38"/>
      <c r="C299" s="39"/>
      <c r="F299" s="38"/>
    </row>
    <row r="300" spans="2:6" x14ac:dyDescent="0.2">
      <c r="B300" s="38"/>
      <c r="C300" s="39"/>
      <c r="F300" s="38"/>
    </row>
    <row r="301" spans="2:6" x14ac:dyDescent="0.2">
      <c r="B301" s="38"/>
      <c r="C301" s="39"/>
      <c r="F301" s="38"/>
    </row>
    <row r="302" spans="2:6" x14ac:dyDescent="0.2">
      <c r="B302" s="38"/>
      <c r="C302" s="39"/>
      <c r="F302" s="38"/>
    </row>
    <row r="303" spans="2:6" x14ac:dyDescent="0.2">
      <c r="B303" s="38"/>
      <c r="C303" s="39"/>
      <c r="F303" s="38"/>
    </row>
    <row r="304" spans="2:6" x14ac:dyDescent="0.2">
      <c r="B304" s="38"/>
      <c r="C304" s="39"/>
      <c r="F304" s="38"/>
    </row>
    <row r="305" spans="2:6" x14ac:dyDescent="0.2">
      <c r="B305" s="38"/>
      <c r="C305" s="39"/>
      <c r="F305" s="38"/>
    </row>
    <row r="306" spans="2:6" x14ac:dyDescent="0.2">
      <c r="B306" s="38"/>
      <c r="C306" s="39"/>
      <c r="F306" s="38"/>
    </row>
    <row r="307" spans="2:6" x14ac:dyDescent="0.2">
      <c r="B307" s="38"/>
      <c r="C307" s="39"/>
      <c r="F307" s="38"/>
    </row>
    <row r="308" spans="2:6" x14ac:dyDescent="0.2">
      <c r="B308" s="38"/>
      <c r="C308" s="39"/>
      <c r="F308" s="38"/>
    </row>
    <row r="309" spans="2:6" x14ac:dyDescent="0.2">
      <c r="B309" s="38"/>
      <c r="C309" s="39"/>
      <c r="F309" s="38"/>
    </row>
    <row r="310" spans="2:6" x14ac:dyDescent="0.2">
      <c r="B310" s="38"/>
      <c r="C310" s="39"/>
      <c r="F310" s="38"/>
    </row>
    <row r="311" spans="2:6" x14ac:dyDescent="0.2">
      <c r="B311" s="38"/>
      <c r="C311" s="39"/>
      <c r="F311" s="38"/>
    </row>
    <row r="312" spans="2:6" x14ac:dyDescent="0.2">
      <c r="B312" s="38"/>
      <c r="C312" s="39"/>
      <c r="F312" s="38"/>
    </row>
    <row r="313" spans="2:6" x14ac:dyDescent="0.2">
      <c r="B313" s="38"/>
      <c r="C313" s="39"/>
      <c r="F313" s="38"/>
    </row>
    <row r="314" spans="2:6" x14ac:dyDescent="0.2">
      <c r="B314" s="38"/>
      <c r="C314" s="39"/>
      <c r="F314" s="38"/>
    </row>
    <row r="315" spans="2:6" x14ac:dyDescent="0.2">
      <c r="B315" s="38"/>
      <c r="C315" s="39"/>
      <c r="F315" s="38"/>
    </row>
    <row r="316" spans="2:6" x14ac:dyDescent="0.2">
      <c r="B316" s="38"/>
      <c r="C316" s="39"/>
      <c r="F316" s="38"/>
    </row>
    <row r="317" spans="2:6" x14ac:dyDescent="0.2">
      <c r="B317" s="38"/>
      <c r="C317" s="39"/>
      <c r="F317" s="38"/>
    </row>
    <row r="318" spans="2:6" x14ac:dyDescent="0.2">
      <c r="B318" s="38"/>
      <c r="C318" s="39"/>
      <c r="F318" s="38"/>
    </row>
    <row r="319" spans="2:6" x14ac:dyDescent="0.2">
      <c r="B319" s="38"/>
      <c r="C319" s="39"/>
      <c r="F319" s="38"/>
    </row>
    <row r="320" spans="2:6" x14ac:dyDescent="0.2">
      <c r="B320" s="38"/>
      <c r="C320" s="39"/>
      <c r="F320" s="38"/>
    </row>
    <row r="321" spans="2:6" x14ac:dyDescent="0.2">
      <c r="B321" s="38"/>
      <c r="C321" s="39"/>
      <c r="F321" s="38"/>
    </row>
    <row r="322" spans="2:6" x14ac:dyDescent="0.2">
      <c r="B322" s="38"/>
      <c r="C322" s="39"/>
      <c r="F322" s="38"/>
    </row>
    <row r="323" spans="2:6" x14ac:dyDescent="0.2">
      <c r="B323" s="38"/>
      <c r="C323" s="39"/>
      <c r="F323" s="38"/>
    </row>
    <row r="324" spans="2:6" x14ac:dyDescent="0.2">
      <c r="B324" s="38"/>
      <c r="C324" s="39"/>
      <c r="F324" s="38"/>
    </row>
    <row r="325" spans="2:6" x14ac:dyDescent="0.2">
      <c r="B325" s="38"/>
      <c r="C325" s="39"/>
      <c r="F325" s="38"/>
    </row>
    <row r="326" spans="2:6" x14ac:dyDescent="0.2">
      <c r="B326" s="38"/>
      <c r="C326" s="39"/>
      <c r="F326" s="38"/>
    </row>
    <row r="327" spans="2:6" x14ac:dyDescent="0.2">
      <c r="B327" s="38"/>
      <c r="C327" s="39"/>
      <c r="F327" s="38"/>
    </row>
    <row r="328" spans="2:6" x14ac:dyDescent="0.2">
      <c r="B328" s="38"/>
      <c r="C328" s="39"/>
      <c r="F328" s="38"/>
    </row>
    <row r="329" spans="2:6" x14ac:dyDescent="0.2">
      <c r="B329" s="38"/>
      <c r="C329" s="39"/>
      <c r="F329" s="38"/>
    </row>
    <row r="330" spans="2:6" x14ac:dyDescent="0.2">
      <c r="B330" s="38"/>
      <c r="C330" s="39"/>
      <c r="F330" s="38"/>
    </row>
    <row r="331" spans="2:6" x14ac:dyDescent="0.2">
      <c r="B331" s="38"/>
      <c r="C331" s="39"/>
      <c r="F331" s="38"/>
    </row>
    <row r="332" spans="2:6" x14ac:dyDescent="0.2">
      <c r="B332" s="38"/>
      <c r="C332" s="39"/>
      <c r="F332" s="38"/>
    </row>
    <row r="333" spans="2:6" x14ac:dyDescent="0.2">
      <c r="B333" s="38"/>
      <c r="C333" s="39"/>
      <c r="F333" s="38"/>
    </row>
    <row r="334" spans="2:6" x14ac:dyDescent="0.2">
      <c r="B334" s="38"/>
      <c r="C334" s="39"/>
      <c r="F334" s="38"/>
    </row>
    <row r="335" spans="2:6" x14ac:dyDescent="0.2">
      <c r="B335" s="38"/>
      <c r="C335" s="39"/>
      <c r="F335" s="38"/>
    </row>
    <row r="336" spans="2:6" x14ac:dyDescent="0.2">
      <c r="B336" s="38"/>
      <c r="C336" s="39"/>
      <c r="F336" s="38"/>
    </row>
    <row r="337" spans="2:6" x14ac:dyDescent="0.2">
      <c r="B337" s="38"/>
      <c r="C337" s="39"/>
      <c r="F337" s="38"/>
    </row>
    <row r="338" spans="2:6" x14ac:dyDescent="0.2">
      <c r="B338" s="38"/>
      <c r="C338" s="39"/>
      <c r="F338" s="38"/>
    </row>
    <row r="339" spans="2:6" x14ac:dyDescent="0.2">
      <c r="B339" s="38"/>
      <c r="C339" s="39"/>
      <c r="F339" s="38"/>
    </row>
    <row r="340" spans="2:6" x14ac:dyDescent="0.2">
      <c r="B340" s="38"/>
      <c r="C340" s="39"/>
      <c r="F340" s="38"/>
    </row>
    <row r="341" spans="2:6" x14ac:dyDescent="0.2">
      <c r="B341" s="38"/>
      <c r="C341" s="39"/>
      <c r="F341" s="38"/>
    </row>
    <row r="342" spans="2:6" x14ac:dyDescent="0.2">
      <c r="B342" s="38"/>
      <c r="C342" s="39"/>
      <c r="F342" s="38"/>
    </row>
    <row r="343" spans="2:6" x14ac:dyDescent="0.2">
      <c r="B343" s="38"/>
      <c r="C343" s="39"/>
      <c r="F343" s="38"/>
    </row>
    <row r="344" spans="2:6" x14ac:dyDescent="0.2">
      <c r="B344" s="38"/>
      <c r="C344" s="39"/>
      <c r="F344" s="38"/>
    </row>
    <row r="345" spans="2:6" x14ac:dyDescent="0.2">
      <c r="B345" s="38"/>
      <c r="C345" s="39"/>
      <c r="F345" s="38"/>
    </row>
    <row r="346" spans="2:6" x14ac:dyDescent="0.2">
      <c r="B346" s="38"/>
      <c r="C346" s="39"/>
      <c r="F346" s="38"/>
    </row>
    <row r="347" spans="2:6" x14ac:dyDescent="0.2">
      <c r="B347" s="38"/>
      <c r="C347" s="39"/>
      <c r="F347" s="38"/>
    </row>
    <row r="348" spans="2:6" x14ac:dyDescent="0.2">
      <c r="B348" s="38"/>
      <c r="C348" s="39"/>
      <c r="F348" s="38"/>
    </row>
    <row r="349" spans="2:6" x14ac:dyDescent="0.2">
      <c r="B349" s="38"/>
      <c r="C349" s="39"/>
      <c r="F349" s="38"/>
    </row>
    <row r="350" spans="2:6" x14ac:dyDescent="0.2">
      <c r="B350" s="38"/>
      <c r="C350" s="39"/>
      <c r="F350" s="38"/>
    </row>
    <row r="351" spans="2:6" x14ac:dyDescent="0.2">
      <c r="B351" s="38"/>
      <c r="C351" s="39"/>
      <c r="F351" s="38"/>
    </row>
    <row r="352" spans="2:6" x14ac:dyDescent="0.2">
      <c r="B352" s="38"/>
      <c r="C352" s="39"/>
      <c r="F352" s="38"/>
    </row>
    <row r="353" spans="2:6" x14ac:dyDescent="0.2">
      <c r="B353" s="38"/>
      <c r="C353" s="39"/>
      <c r="F353" s="38"/>
    </row>
    <row r="354" spans="2:6" x14ac:dyDescent="0.2">
      <c r="B354" s="38"/>
      <c r="C354" s="39"/>
      <c r="F354" s="38"/>
    </row>
    <row r="355" spans="2:6" x14ac:dyDescent="0.2">
      <c r="B355" s="38"/>
      <c r="C355" s="39"/>
      <c r="F355" s="38"/>
    </row>
    <row r="356" spans="2:6" x14ac:dyDescent="0.2">
      <c r="B356" s="38"/>
      <c r="C356" s="39"/>
      <c r="F356" s="38"/>
    </row>
    <row r="357" spans="2:6" x14ac:dyDescent="0.2">
      <c r="B357" s="38"/>
      <c r="C357" s="39"/>
      <c r="F357" s="38"/>
    </row>
    <row r="358" spans="2:6" x14ac:dyDescent="0.2">
      <c r="B358" s="38"/>
      <c r="C358" s="39"/>
      <c r="F358" s="38"/>
    </row>
    <row r="359" spans="2:6" x14ac:dyDescent="0.2">
      <c r="B359" s="38"/>
      <c r="C359" s="39"/>
      <c r="F359" s="38"/>
    </row>
    <row r="360" spans="2:6" x14ac:dyDescent="0.2">
      <c r="B360" s="38"/>
      <c r="C360" s="39"/>
      <c r="F360" s="38"/>
    </row>
    <row r="361" spans="2:6" x14ac:dyDescent="0.2">
      <c r="B361" s="38"/>
      <c r="C361" s="39"/>
      <c r="F361" s="38"/>
    </row>
    <row r="362" spans="2:6" x14ac:dyDescent="0.2">
      <c r="B362" s="38"/>
      <c r="C362" s="39"/>
      <c r="F362" s="38"/>
    </row>
    <row r="363" spans="2:6" x14ac:dyDescent="0.2">
      <c r="B363" s="38"/>
      <c r="C363" s="39"/>
      <c r="F363" s="38"/>
    </row>
    <row r="364" spans="2:6" x14ac:dyDescent="0.2">
      <c r="B364" s="38"/>
      <c r="C364" s="39"/>
      <c r="F364" s="38"/>
    </row>
    <row r="365" spans="2:6" x14ac:dyDescent="0.2">
      <c r="B365" s="38"/>
      <c r="C365" s="39"/>
      <c r="F365" s="38"/>
    </row>
    <row r="366" spans="2:6" x14ac:dyDescent="0.2">
      <c r="B366" s="38"/>
      <c r="C366" s="39"/>
      <c r="F366" s="38"/>
    </row>
    <row r="367" spans="2:6" x14ac:dyDescent="0.2">
      <c r="B367" s="38"/>
      <c r="C367" s="39"/>
      <c r="F367" s="38"/>
    </row>
    <row r="368" spans="2:6" x14ac:dyDescent="0.2">
      <c r="B368" s="38"/>
      <c r="C368" s="39"/>
      <c r="F368" s="38"/>
    </row>
    <row r="369" spans="2:6" x14ac:dyDescent="0.2">
      <c r="B369" s="38"/>
      <c r="C369" s="39"/>
      <c r="F369" s="38"/>
    </row>
    <row r="370" spans="2:6" x14ac:dyDescent="0.2">
      <c r="B370" s="38"/>
      <c r="C370" s="39"/>
      <c r="F370" s="38"/>
    </row>
    <row r="371" spans="2:6" x14ac:dyDescent="0.2">
      <c r="B371" s="38"/>
      <c r="C371" s="39"/>
      <c r="F371" s="38"/>
    </row>
    <row r="372" spans="2:6" x14ac:dyDescent="0.2">
      <c r="B372" s="38"/>
      <c r="C372" s="39"/>
      <c r="F372" s="38"/>
    </row>
    <row r="373" spans="2:6" x14ac:dyDescent="0.2">
      <c r="B373" s="38"/>
      <c r="C373" s="39"/>
      <c r="F373" s="38"/>
    </row>
    <row r="374" spans="2:6" x14ac:dyDescent="0.2">
      <c r="B374" s="38"/>
      <c r="C374" s="39"/>
      <c r="F374" s="38"/>
    </row>
    <row r="375" spans="2:6" x14ac:dyDescent="0.2">
      <c r="B375" s="38"/>
      <c r="C375" s="39"/>
      <c r="F375" s="38"/>
    </row>
    <row r="376" spans="2:6" x14ac:dyDescent="0.2">
      <c r="B376" s="38"/>
      <c r="C376" s="39"/>
      <c r="F376" s="38"/>
    </row>
    <row r="377" spans="2:6" x14ac:dyDescent="0.2">
      <c r="B377" s="38"/>
      <c r="C377" s="39"/>
      <c r="F377" s="38"/>
    </row>
    <row r="378" spans="2:6" x14ac:dyDescent="0.2">
      <c r="B378" s="38"/>
      <c r="C378" s="39"/>
      <c r="F378" s="38"/>
    </row>
    <row r="379" spans="2:6" x14ac:dyDescent="0.2">
      <c r="B379" s="38"/>
      <c r="C379" s="39"/>
      <c r="F379" s="38"/>
    </row>
    <row r="380" spans="2:6" x14ac:dyDescent="0.2">
      <c r="B380" s="38"/>
      <c r="C380" s="39"/>
      <c r="F380" s="38"/>
    </row>
    <row r="381" spans="2:6" x14ac:dyDescent="0.2">
      <c r="B381" s="38"/>
      <c r="C381" s="39"/>
      <c r="F381" s="38"/>
    </row>
    <row r="382" spans="2:6" x14ac:dyDescent="0.2">
      <c r="B382" s="38"/>
      <c r="C382" s="39"/>
      <c r="F382" s="38"/>
    </row>
    <row r="383" spans="2:6" x14ac:dyDescent="0.2">
      <c r="B383" s="38"/>
      <c r="C383" s="39"/>
      <c r="F383" s="38"/>
    </row>
    <row r="384" spans="2:6" x14ac:dyDescent="0.2">
      <c r="B384" s="38"/>
      <c r="C384" s="39"/>
      <c r="F384" s="38"/>
    </row>
    <row r="385" spans="2:6" x14ac:dyDescent="0.2">
      <c r="B385" s="38"/>
      <c r="C385" s="39"/>
      <c r="F385" s="38"/>
    </row>
    <row r="386" spans="2:6" x14ac:dyDescent="0.2">
      <c r="B386" s="38"/>
      <c r="C386" s="39"/>
      <c r="F386" s="38"/>
    </row>
    <row r="387" spans="2:6" x14ac:dyDescent="0.2">
      <c r="B387" s="38"/>
      <c r="C387" s="39"/>
      <c r="F387" s="38"/>
    </row>
    <row r="388" spans="2:6" x14ac:dyDescent="0.2">
      <c r="B388" s="38"/>
      <c r="C388" s="39"/>
      <c r="F388" s="38"/>
    </row>
    <row r="389" spans="2:6" x14ac:dyDescent="0.2">
      <c r="B389" s="38"/>
      <c r="C389" s="39"/>
      <c r="F389" s="38"/>
    </row>
    <row r="390" spans="2:6" x14ac:dyDescent="0.2">
      <c r="B390" s="38"/>
      <c r="C390" s="39"/>
      <c r="F390" s="38"/>
    </row>
    <row r="391" spans="2:6" x14ac:dyDescent="0.2">
      <c r="B391" s="38"/>
      <c r="C391" s="39"/>
      <c r="F391" s="38"/>
    </row>
    <row r="392" spans="2:6" x14ac:dyDescent="0.2">
      <c r="B392" s="38"/>
      <c r="C392" s="39"/>
      <c r="F392" s="38"/>
    </row>
    <row r="393" spans="2:6" x14ac:dyDescent="0.2">
      <c r="B393" s="38"/>
      <c r="C393" s="39"/>
      <c r="F393" s="38"/>
    </row>
    <row r="394" spans="2:6" x14ac:dyDescent="0.2">
      <c r="B394" s="38"/>
      <c r="C394" s="39"/>
      <c r="F394" s="38"/>
    </row>
    <row r="395" spans="2:6" x14ac:dyDescent="0.2">
      <c r="B395" s="38"/>
      <c r="C395" s="39"/>
      <c r="F395" s="38"/>
    </row>
    <row r="396" spans="2:6" x14ac:dyDescent="0.2">
      <c r="B396" s="38"/>
      <c r="C396" s="39"/>
      <c r="F396" s="38"/>
    </row>
    <row r="397" spans="2:6" x14ac:dyDescent="0.2">
      <c r="B397" s="38"/>
      <c r="C397" s="39"/>
      <c r="F397" s="38"/>
    </row>
    <row r="398" spans="2:6" x14ac:dyDescent="0.2">
      <c r="B398" s="38"/>
      <c r="C398" s="39"/>
      <c r="F398" s="38"/>
    </row>
    <row r="399" spans="2:6" x14ac:dyDescent="0.2">
      <c r="B399" s="38"/>
      <c r="C399" s="39"/>
      <c r="F399" s="38"/>
    </row>
    <row r="400" spans="2:6" x14ac:dyDescent="0.2">
      <c r="B400" s="38"/>
      <c r="C400" s="39"/>
      <c r="F400" s="38"/>
    </row>
    <row r="401" spans="2:6" x14ac:dyDescent="0.2">
      <c r="B401" s="38"/>
      <c r="C401" s="39"/>
      <c r="F401" s="38"/>
    </row>
    <row r="402" spans="2:6" x14ac:dyDescent="0.2">
      <c r="B402" s="38"/>
      <c r="C402" s="39"/>
      <c r="F402" s="38"/>
    </row>
    <row r="403" spans="2:6" x14ac:dyDescent="0.2">
      <c r="B403" s="38"/>
      <c r="C403" s="39"/>
      <c r="F403" s="38"/>
    </row>
    <row r="404" spans="2:6" x14ac:dyDescent="0.2">
      <c r="B404" s="38"/>
      <c r="C404" s="39"/>
      <c r="F404" s="38"/>
    </row>
    <row r="405" spans="2:6" x14ac:dyDescent="0.2">
      <c r="B405" s="38"/>
      <c r="C405" s="39"/>
      <c r="F405" s="38"/>
    </row>
    <row r="406" spans="2:6" x14ac:dyDescent="0.2">
      <c r="B406" s="38"/>
      <c r="C406" s="39"/>
      <c r="F406" s="38"/>
    </row>
    <row r="407" spans="2:6" x14ac:dyDescent="0.2">
      <c r="B407" s="38"/>
      <c r="C407" s="39"/>
      <c r="F407" s="38"/>
    </row>
    <row r="408" spans="2:6" x14ac:dyDescent="0.2">
      <c r="B408" s="38"/>
      <c r="C408" s="39"/>
      <c r="F408" s="38"/>
    </row>
    <row r="409" spans="2:6" x14ac:dyDescent="0.2">
      <c r="B409" s="38"/>
      <c r="C409" s="39"/>
      <c r="F409" s="38"/>
    </row>
    <row r="410" spans="2:6" x14ac:dyDescent="0.2">
      <c r="B410" s="38"/>
      <c r="C410" s="39"/>
      <c r="F410" s="38"/>
    </row>
    <row r="411" spans="2:6" x14ac:dyDescent="0.2">
      <c r="B411" s="38"/>
      <c r="C411" s="39"/>
      <c r="F411" s="38"/>
    </row>
    <row r="412" spans="2:6" x14ac:dyDescent="0.2">
      <c r="B412" s="38"/>
      <c r="C412" s="39"/>
      <c r="F412" s="38"/>
    </row>
    <row r="413" spans="2:6" x14ac:dyDescent="0.2">
      <c r="B413" s="38"/>
      <c r="C413" s="39"/>
      <c r="F413" s="38"/>
    </row>
    <row r="414" spans="2:6" x14ac:dyDescent="0.2">
      <c r="B414" s="38"/>
      <c r="C414" s="39"/>
      <c r="F414" s="38"/>
    </row>
    <row r="415" spans="2:6" x14ac:dyDescent="0.2">
      <c r="B415" s="38"/>
      <c r="C415" s="39"/>
      <c r="F415" s="38"/>
    </row>
    <row r="416" spans="2:6" x14ac:dyDescent="0.2">
      <c r="B416" s="38"/>
      <c r="C416" s="39"/>
      <c r="F416" s="38"/>
    </row>
    <row r="417" spans="2:6" x14ac:dyDescent="0.2">
      <c r="B417" s="38"/>
      <c r="C417" s="39"/>
      <c r="F417" s="38"/>
    </row>
    <row r="418" spans="2:6" x14ac:dyDescent="0.2">
      <c r="B418" s="38"/>
      <c r="C418" s="39"/>
      <c r="F418" s="38"/>
    </row>
    <row r="419" spans="2:6" x14ac:dyDescent="0.2">
      <c r="B419" s="38"/>
      <c r="C419" s="39"/>
      <c r="F419" s="38"/>
    </row>
    <row r="420" spans="2:6" x14ac:dyDescent="0.2">
      <c r="B420" s="38"/>
      <c r="C420" s="39"/>
      <c r="F420" s="38"/>
    </row>
    <row r="421" spans="2:6" x14ac:dyDescent="0.2">
      <c r="B421" s="38"/>
      <c r="C421" s="39"/>
      <c r="F421" s="38"/>
    </row>
    <row r="422" spans="2:6" x14ac:dyDescent="0.2">
      <c r="B422" s="38"/>
      <c r="C422" s="39"/>
      <c r="F422" s="38"/>
    </row>
    <row r="423" spans="2:6" x14ac:dyDescent="0.2">
      <c r="B423" s="38"/>
      <c r="C423" s="39"/>
      <c r="F423" s="38"/>
    </row>
    <row r="424" spans="2:6" x14ac:dyDescent="0.2">
      <c r="B424" s="38"/>
      <c r="C424" s="39"/>
      <c r="F424" s="38"/>
    </row>
    <row r="425" spans="2:6" x14ac:dyDescent="0.2">
      <c r="B425" s="38"/>
      <c r="C425" s="39"/>
      <c r="F425" s="38"/>
    </row>
    <row r="426" spans="2:6" x14ac:dyDescent="0.2">
      <c r="B426" s="38"/>
      <c r="C426" s="39"/>
      <c r="F426" s="38"/>
    </row>
    <row r="427" spans="2:6" x14ac:dyDescent="0.2">
      <c r="B427" s="38"/>
      <c r="C427" s="39"/>
      <c r="F427" s="38"/>
    </row>
    <row r="428" spans="2:6" x14ac:dyDescent="0.2">
      <c r="B428" s="38"/>
      <c r="C428" s="39"/>
      <c r="F428" s="38"/>
    </row>
    <row r="429" spans="2:6" x14ac:dyDescent="0.2">
      <c r="B429" s="38"/>
      <c r="C429" s="39"/>
      <c r="F429" s="38"/>
    </row>
    <row r="430" spans="2:6" x14ac:dyDescent="0.2">
      <c r="B430" s="38"/>
      <c r="C430" s="39"/>
      <c r="F430" s="38"/>
    </row>
    <row r="431" spans="2:6" x14ac:dyDescent="0.2">
      <c r="B431" s="38"/>
      <c r="C431" s="39"/>
      <c r="F431" s="38"/>
    </row>
    <row r="432" spans="2:6" x14ac:dyDescent="0.2">
      <c r="B432" s="38"/>
      <c r="C432" s="39"/>
      <c r="F432" s="38"/>
    </row>
    <row r="433" spans="2:6" x14ac:dyDescent="0.2">
      <c r="B433" s="38"/>
      <c r="C433" s="39"/>
      <c r="F433" s="38"/>
    </row>
    <row r="434" spans="2:6" x14ac:dyDescent="0.2">
      <c r="B434" s="38"/>
      <c r="C434" s="39"/>
      <c r="F434" s="38"/>
    </row>
    <row r="435" spans="2:6" x14ac:dyDescent="0.2">
      <c r="B435" s="38"/>
      <c r="C435" s="39"/>
      <c r="F435" s="38"/>
    </row>
    <row r="436" spans="2:6" x14ac:dyDescent="0.2">
      <c r="B436" s="38"/>
      <c r="C436" s="39"/>
      <c r="F436" s="38"/>
    </row>
    <row r="437" spans="2:6" x14ac:dyDescent="0.2">
      <c r="B437" s="38"/>
      <c r="C437" s="39"/>
      <c r="F437" s="38"/>
    </row>
    <row r="438" spans="2:6" x14ac:dyDescent="0.2">
      <c r="B438" s="38"/>
      <c r="C438" s="39"/>
      <c r="F438" s="38"/>
    </row>
    <row r="439" spans="2:6" x14ac:dyDescent="0.2">
      <c r="B439" s="38"/>
      <c r="C439" s="39"/>
      <c r="F439" s="38"/>
    </row>
    <row r="440" spans="2:6" x14ac:dyDescent="0.2">
      <c r="B440" s="38"/>
      <c r="C440" s="39"/>
      <c r="F440" s="38"/>
    </row>
    <row r="441" spans="2:6" x14ac:dyDescent="0.2">
      <c r="B441" s="38"/>
      <c r="C441" s="39"/>
      <c r="F441" s="38"/>
    </row>
    <row r="442" spans="2:6" x14ac:dyDescent="0.2">
      <c r="B442" s="38"/>
      <c r="C442" s="39"/>
      <c r="F442" s="38"/>
    </row>
    <row r="443" spans="2:6" x14ac:dyDescent="0.2">
      <c r="B443" s="38"/>
      <c r="C443" s="39"/>
      <c r="F443" s="38"/>
    </row>
    <row r="444" spans="2:6" x14ac:dyDescent="0.2">
      <c r="B444" s="38"/>
      <c r="C444" s="39"/>
      <c r="F444" s="38"/>
    </row>
    <row r="445" spans="2:6" x14ac:dyDescent="0.2">
      <c r="B445" s="38"/>
      <c r="C445" s="39"/>
      <c r="F445" s="38"/>
    </row>
    <row r="446" spans="2:6" x14ac:dyDescent="0.2">
      <c r="B446" s="38"/>
      <c r="C446" s="39"/>
      <c r="F446" s="38"/>
    </row>
    <row r="447" spans="2:6" x14ac:dyDescent="0.2">
      <c r="B447" s="38"/>
      <c r="C447" s="39"/>
      <c r="F447" s="38"/>
    </row>
    <row r="448" spans="2:6" x14ac:dyDescent="0.2">
      <c r="B448" s="38"/>
      <c r="C448" s="39"/>
      <c r="F448" s="38"/>
    </row>
    <row r="449" spans="2:6" x14ac:dyDescent="0.2">
      <c r="B449" s="38"/>
      <c r="C449" s="39"/>
      <c r="F449" s="38"/>
    </row>
    <row r="450" spans="2:6" x14ac:dyDescent="0.2">
      <c r="B450" s="38"/>
      <c r="C450" s="39"/>
      <c r="F450" s="38"/>
    </row>
    <row r="451" spans="2:6" x14ac:dyDescent="0.2">
      <c r="B451" s="38"/>
      <c r="C451" s="39"/>
      <c r="F451" s="38"/>
    </row>
    <row r="452" spans="2:6" x14ac:dyDescent="0.2">
      <c r="B452" s="38"/>
      <c r="C452" s="39"/>
      <c r="F452" s="38"/>
    </row>
    <row r="453" spans="2:6" x14ac:dyDescent="0.2">
      <c r="B453" s="38"/>
      <c r="C453" s="39"/>
      <c r="F453" s="38"/>
    </row>
    <row r="454" spans="2:6" x14ac:dyDescent="0.2">
      <c r="B454" s="38"/>
      <c r="C454" s="39"/>
      <c r="F454" s="38"/>
    </row>
    <row r="455" spans="2:6" x14ac:dyDescent="0.2">
      <c r="B455" s="38"/>
      <c r="C455" s="39"/>
      <c r="F455" s="38"/>
    </row>
    <row r="456" spans="2:6" x14ac:dyDescent="0.2">
      <c r="B456" s="38"/>
      <c r="C456" s="39"/>
      <c r="F456" s="38"/>
    </row>
    <row r="457" spans="2:6" x14ac:dyDescent="0.2">
      <c r="B457" s="38"/>
      <c r="C457" s="39"/>
      <c r="F457" s="38"/>
    </row>
    <row r="458" spans="2:6" x14ac:dyDescent="0.2">
      <c r="B458" s="38"/>
      <c r="C458" s="39"/>
      <c r="F458" s="38"/>
    </row>
    <row r="459" spans="2:6" x14ac:dyDescent="0.2">
      <c r="B459" s="38"/>
      <c r="C459" s="39"/>
      <c r="F459" s="38"/>
    </row>
    <row r="460" spans="2:6" x14ac:dyDescent="0.2">
      <c r="B460" s="38"/>
      <c r="C460" s="39"/>
      <c r="F460" s="38"/>
    </row>
    <row r="461" spans="2:6" x14ac:dyDescent="0.2">
      <c r="B461" s="38"/>
      <c r="C461" s="39"/>
      <c r="F461" s="38"/>
    </row>
    <row r="462" spans="2:6" x14ac:dyDescent="0.2">
      <c r="B462" s="38"/>
      <c r="C462" s="39"/>
      <c r="F462" s="38"/>
    </row>
    <row r="463" spans="2:6" x14ac:dyDescent="0.2">
      <c r="B463" s="38"/>
      <c r="C463" s="39"/>
      <c r="F463" s="38"/>
    </row>
    <row r="464" spans="2:6" x14ac:dyDescent="0.2">
      <c r="B464" s="38"/>
      <c r="C464" s="39"/>
      <c r="F464" s="38"/>
    </row>
    <row r="465" spans="2:6" x14ac:dyDescent="0.2">
      <c r="B465" s="38"/>
      <c r="C465" s="39"/>
      <c r="F465" s="38"/>
    </row>
    <row r="466" spans="2:6" x14ac:dyDescent="0.2">
      <c r="B466" s="38"/>
      <c r="C466" s="39"/>
      <c r="F466" s="38"/>
    </row>
    <row r="467" spans="2:6" x14ac:dyDescent="0.2">
      <c r="B467" s="38"/>
      <c r="C467" s="39"/>
      <c r="F467" s="38"/>
    </row>
    <row r="468" spans="2:6" x14ac:dyDescent="0.2">
      <c r="B468" s="38"/>
      <c r="C468" s="39"/>
      <c r="F468" s="38"/>
    </row>
    <row r="469" spans="2:6" x14ac:dyDescent="0.2">
      <c r="B469" s="38"/>
      <c r="C469" s="39"/>
      <c r="F469" s="38"/>
    </row>
    <row r="470" spans="2:6" x14ac:dyDescent="0.2">
      <c r="B470" s="38"/>
      <c r="C470" s="39"/>
      <c r="F470" s="38"/>
    </row>
    <row r="471" spans="2:6" x14ac:dyDescent="0.2">
      <c r="B471" s="38"/>
      <c r="C471" s="39"/>
      <c r="F471" s="38"/>
    </row>
    <row r="472" spans="2:6" x14ac:dyDescent="0.2">
      <c r="B472" s="38"/>
      <c r="C472" s="39"/>
      <c r="F472" s="38"/>
    </row>
    <row r="473" spans="2:6" x14ac:dyDescent="0.2">
      <c r="B473" s="38"/>
      <c r="C473" s="39"/>
      <c r="F473" s="38"/>
    </row>
    <row r="474" spans="2:6" x14ac:dyDescent="0.2">
      <c r="B474" s="38"/>
      <c r="C474" s="39"/>
      <c r="F474" s="38"/>
    </row>
    <row r="475" spans="2:6" x14ac:dyDescent="0.2">
      <c r="B475" s="38"/>
      <c r="C475" s="39"/>
      <c r="F475" s="38"/>
    </row>
    <row r="476" spans="2:6" x14ac:dyDescent="0.2">
      <c r="B476" s="38"/>
      <c r="C476" s="39"/>
      <c r="F476" s="38"/>
    </row>
    <row r="477" spans="2:6" x14ac:dyDescent="0.2">
      <c r="B477" s="38"/>
      <c r="C477" s="39"/>
      <c r="F477" s="38"/>
    </row>
    <row r="478" spans="2:6" x14ac:dyDescent="0.2">
      <c r="B478" s="38"/>
      <c r="C478" s="39"/>
      <c r="F478" s="38"/>
    </row>
    <row r="479" spans="2:6" x14ac:dyDescent="0.2">
      <c r="B479" s="38"/>
      <c r="C479" s="39"/>
      <c r="F479" s="38"/>
    </row>
    <row r="480" spans="2:6" x14ac:dyDescent="0.2">
      <c r="B480" s="38"/>
      <c r="C480" s="39"/>
      <c r="F480" s="38"/>
    </row>
    <row r="481" spans="2:6" x14ac:dyDescent="0.2">
      <c r="B481" s="38"/>
      <c r="C481" s="39"/>
      <c r="F481" s="38"/>
    </row>
    <row r="482" spans="2:6" x14ac:dyDescent="0.2">
      <c r="B482" s="38"/>
      <c r="C482" s="39"/>
      <c r="F482" s="38"/>
    </row>
    <row r="483" spans="2:6" x14ac:dyDescent="0.2">
      <c r="B483" s="38"/>
      <c r="C483" s="39"/>
      <c r="F483" s="38"/>
    </row>
    <row r="484" spans="2:6" x14ac:dyDescent="0.2">
      <c r="B484" s="38"/>
      <c r="C484" s="39"/>
      <c r="F484" s="38"/>
    </row>
    <row r="485" spans="2:6" x14ac:dyDescent="0.2">
      <c r="B485" s="38"/>
      <c r="C485" s="39"/>
      <c r="F485" s="38"/>
    </row>
    <row r="486" spans="2:6" x14ac:dyDescent="0.2">
      <c r="B486" s="38"/>
      <c r="C486" s="39"/>
      <c r="F486" s="38"/>
    </row>
    <row r="487" spans="2:6" x14ac:dyDescent="0.2">
      <c r="B487" s="38"/>
      <c r="C487" s="39"/>
      <c r="F487" s="38"/>
    </row>
    <row r="488" spans="2:6" x14ac:dyDescent="0.2">
      <c r="B488" s="38"/>
      <c r="C488" s="39"/>
      <c r="F488" s="38"/>
    </row>
    <row r="489" spans="2:6" x14ac:dyDescent="0.2">
      <c r="B489" s="38"/>
      <c r="C489" s="39"/>
      <c r="F489" s="38"/>
    </row>
    <row r="490" spans="2:6" x14ac:dyDescent="0.2">
      <c r="B490" s="38"/>
      <c r="C490" s="39"/>
      <c r="F490" s="38"/>
    </row>
    <row r="491" spans="2:6" x14ac:dyDescent="0.2">
      <c r="B491" s="38"/>
      <c r="C491" s="39"/>
      <c r="F491" s="38"/>
    </row>
    <row r="492" spans="2:6" x14ac:dyDescent="0.2">
      <c r="B492" s="38"/>
      <c r="C492" s="39"/>
      <c r="F492" s="38"/>
    </row>
    <row r="493" spans="2:6" x14ac:dyDescent="0.2">
      <c r="B493" s="38"/>
      <c r="C493" s="39"/>
      <c r="F493" s="38"/>
    </row>
    <row r="494" spans="2:6" x14ac:dyDescent="0.2">
      <c r="B494" s="38"/>
      <c r="C494" s="39"/>
      <c r="F494" s="38"/>
    </row>
    <row r="495" spans="2:6" x14ac:dyDescent="0.2">
      <c r="B495" s="38"/>
      <c r="C495" s="39"/>
      <c r="F495" s="38"/>
    </row>
    <row r="496" spans="2:6" x14ac:dyDescent="0.2">
      <c r="B496" s="38"/>
      <c r="C496" s="39"/>
      <c r="F496" s="38"/>
    </row>
    <row r="497" spans="2:6" x14ac:dyDescent="0.2">
      <c r="B497" s="38"/>
      <c r="C497" s="39"/>
      <c r="F497" s="38"/>
    </row>
    <row r="498" spans="2:6" x14ac:dyDescent="0.2">
      <c r="B498" s="38"/>
      <c r="C498" s="39"/>
      <c r="F498" s="38"/>
    </row>
    <row r="499" spans="2:6" x14ac:dyDescent="0.2">
      <c r="B499" s="38"/>
      <c r="C499" s="39"/>
      <c r="F499" s="38"/>
    </row>
    <row r="500" spans="2:6" x14ac:dyDescent="0.2">
      <c r="B500" s="38"/>
      <c r="C500" s="39"/>
      <c r="F500" s="38"/>
    </row>
    <row r="501" spans="2:6" x14ac:dyDescent="0.2">
      <c r="B501" s="38"/>
      <c r="C501" s="39"/>
      <c r="F501" s="38"/>
    </row>
    <row r="502" spans="2:6" x14ac:dyDescent="0.2">
      <c r="B502" s="38"/>
      <c r="C502" s="39"/>
      <c r="F502" s="38"/>
    </row>
    <row r="503" spans="2:6" x14ac:dyDescent="0.2">
      <c r="B503" s="38"/>
      <c r="C503" s="39"/>
      <c r="F503" s="38"/>
    </row>
    <row r="504" spans="2:6" x14ac:dyDescent="0.2">
      <c r="B504" s="38"/>
      <c r="C504" s="39"/>
      <c r="F504" s="38"/>
    </row>
  </sheetData>
  <dataValidations count="11">
    <dataValidation type="list" allowBlank="1" showInputMessage="1" showErrorMessage="1" sqref="H505" xr:uid="{00000000-0002-0000-0300-000000000000}">
      <formula1>"1"</formula1>
    </dataValidation>
    <dataValidation type="list" allowBlank="1" showInputMessage="1" showErrorMessage="1" sqref="I505" xr:uid="{00000000-0002-0000-0300-000001000000}">
      <formula1>"EXPD"</formula1>
    </dataValidation>
    <dataValidation type="list" showInputMessage="1" showErrorMessage="1" promptTitle="CONDITION_ID" prompt="INS Inspection_x000a_NCD Damaged by non CEVA Party_x000a_DAM Damaged whilst in CEVA Care_x000a_DIS Disposal_x000a_QAH QA Hold_x000a_RET Returns_x000a_RTS Return to Supplier" sqref="E5:E505" xr:uid="{00000000-0002-0000-0300-000002000000}">
      <formula1>"INS,NCD,DAM,DIS,QAH,RET,RTS"</formula1>
    </dataValidation>
    <dataValidation type="list" allowBlank="1" showInputMessage="1" showErrorMessage="1" promptTitle="TRACKING_LEVEL" prompt="EA Each_x000a_PK Inner Pack_x000a_CA Case_x000a_PL Pallet" sqref="D5:D505" xr:uid="{00000000-0002-0000-0300-000003000000}">
      <formula1>"EA,PK,CA,PL"</formula1>
    </dataValidation>
    <dataValidation type="list" allowBlank="1" showInputMessage="1" showErrorMessage="1" promptTitle="Override shelf life" prompt="Select 1 if you want to override the shelf life" sqref="H5:H504" xr:uid="{00000000-0002-0000-0300-000004000000}">
      <formula1>"1"</formula1>
    </dataValidation>
    <dataValidation type="list" allowBlank="1" showInputMessage="1" showErrorMessage="1" promptTitle="Allocate expired inventory" prompt="Select EXPD if you want to allocate expired inventory" sqref="I5:I504" xr:uid="{00000000-0002-0000-0300-000005000000}">
      <formula1>"EXPD"</formula1>
    </dataValidation>
    <dataValidation type="textLength" operator="lessThanOrEqual" allowBlank="1" showInputMessage="1" showErrorMessage="1" sqref="A5:A504" xr:uid="{00000000-0002-0000-0300-000006000000}">
      <formula1>$A$4</formula1>
    </dataValidation>
    <dataValidation type="whole" allowBlank="1" showInputMessage="1" showErrorMessage="1" sqref="B5:B504" xr:uid="{00000000-0002-0000-0300-000007000000}">
      <formula1>1</formula1>
      <formula2>999999</formula2>
    </dataValidation>
    <dataValidation type="textLength" operator="lessThanOrEqual" allowBlank="1" showInputMessage="1" showErrorMessage="1" sqref="C5:C504" xr:uid="{00000000-0002-0000-0300-000008000000}">
      <formula1>$C$4</formula1>
    </dataValidation>
    <dataValidation type="whole" allowBlank="1" showInputMessage="1" showErrorMessage="1" sqref="F5:F504" xr:uid="{00000000-0002-0000-0300-000009000000}">
      <formula1>1</formula1>
      <formula2>999999999</formula2>
    </dataValidation>
    <dataValidation type="textLength" operator="lessThanOrEqual" allowBlank="1" showInputMessage="1" showErrorMessage="1" sqref="G5:G504" xr:uid="{00000000-0002-0000-0300-00000A000000}">
      <formula1>$G$4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AG1281"/>
  <sheetViews>
    <sheetView zoomScaleNormal="100" workbookViewId="0"/>
  </sheetViews>
  <sheetFormatPr baseColWidth="10" defaultRowHeight="14.25" customHeight="1" x14ac:dyDescent="0.2"/>
  <cols>
    <col min="1" max="1" width="13.28515625" style="65" customWidth="1"/>
    <col min="2" max="2" width="29.140625" style="65" customWidth="1"/>
    <col min="4" max="4" width="19.5703125" customWidth="1"/>
  </cols>
  <sheetData>
    <row r="1" spans="1:2" ht="14.25" customHeight="1" x14ac:dyDescent="0.2">
      <c r="A1" s="55" t="s">
        <v>1189</v>
      </c>
      <c r="B1" s="56" t="s">
        <v>1181</v>
      </c>
    </row>
    <row r="2" spans="1:2" ht="14.25" customHeight="1" x14ac:dyDescent="0.2">
      <c r="A2" s="17">
        <v>27</v>
      </c>
      <c r="B2" s="57" t="s">
        <v>297</v>
      </c>
    </row>
    <row r="3" spans="1:2" ht="14.25" customHeight="1" x14ac:dyDescent="0.2">
      <c r="A3" s="17">
        <v>35</v>
      </c>
      <c r="B3" s="57" t="s">
        <v>911</v>
      </c>
    </row>
    <row r="4" spans="1:2" ht="14.25" customHeight="1" x14ac:dyDescent="0.2">
      <c r="A4" s="17">
        <v>38</v>
      </c>
      <c r="B4" s="57" t="s">
        <v>1000</v>
      </c>
    </row>
    <row r="5" spans="1:2" ht="14.25" customHeight="1" x14ac:dyDescent="0.2">
      <c r="A5" s="17">
        <v>50</v>
      </c>
      <c r="B5" s="57" t="s">
        <v>604</v>
      </c>
    </row>
    <row r="6" spans="1:2" ht="14.25" customHeight="1" x14ac:dyDescent="0.2">
      <c r="A6" s="17">
        <v>73</v>
      </c>
      <c r="B6" s="57" t="s">
        <v>65</v>
      </c>
    </row>
    <row r="7" spans="1:2" ht="14.25" customHeight="1" x14ac:dyDescent="0.2">
      <c r="A7" s="17">
        <v>86</v>
      </c>
      <c r="B7" s="57" t="s">
        <v>223</v>
      </c>
    </row>
    <row r="8" spans="1:2" ht="14.25" customHeight="1" x14ac:dyDescent="0.2">
      <c r="A8" s="17">
        <v>87</v>
      </c>
      <c r="B8" s="57" t="s">
        <v>783</v>
      </c>
    </row>
    <row r="9" spans="1:2" ht="14.25" customHeight="1" x14ac:dyDescent="0.2">
      <c r="A9" s="17">
        <v>89</v>
      </c>
      <c r="B9" s="57" t="s">
        <v>203</v>
      </c>
    </row>
    <row r="10" spans="1:2" ht="14.25" customHeight="1" x14ac:dyDescent="0.2">
      <c r="A10" s="17">
        <v>94</v>
      </c>
      <c r="B10" s="57" t="s">
        <v>159</v>
      </c>
    </row>
    <row r="11" spans="1:2" ht="14.25" customHeight="1" x14ac:dyDescent="0.2">
      <c r="A11" s="17">
        <v>95</v>
      </c>
      <c r="B11" s="57" t="s">
        <v>165</v>
      </c>
    </row>
    <row r="12" spans="1:2" ht="14.25" customHeight="1" x14ac:dyDescent="0.2">
      <c r="A12" s="17">
        <v>97</v>
      </c>
      <c r="B12" s="57" t="s">
        <v>1190</v>
      </c>
    </row>
    <row r="13" spans="1:2" ht="14.25" customHeight="1" x14ac:dyDescent="0.2">
      <c r="A13" s="17">
        <v>98</v>
      </c>
      <c r="B13" s="57" t="s">
        <v>221</v>
      </c>
    </row>
    <row r="14" spans="1:2" ht="14.25" customHeight="1" x14ac:dyDescent="0.2">
      <c r="A14" s="17">
        <v>99</v>
      </c>
      <c r="B14" s="57" t="s">
        <v>228</v>
      </c>
    </row>
    <row r="15" spans="1:2" ht="14.25" customHeight="1" x14ac:dyDescent="0.2">
      <c r="A15" s="17">
        <v>101</v>
      </c>
      <c r="B15" s="57" t="s">
        <v>338</v>
      </c>
    </row>
    <row r="16" spans="1:2" ht="14.25" customHeight="1" x14ac:dyDescent="0.2">
      <c r="A16" s="17">
        <v>104</v>
      </c>
      <c r="B16" s="57" t="s">
        <v>444</v>
      </c>
    </row>
    <row r="17" spans="1:2" ht="14.25" customHeight="1" x14ac:dyDescent="0.2">
      <c r="A17" s="17">
        <v>105</v>
      </c>
      <c r="B17" s="57" t="s">
        <v>538</v>
      </c>
    </row>
    <row r="18" spans="1:2" ht="14.25" customHeight="1" x14ac:dyDescent="0.2">
      <c r="A18" s="17">
        <v>105</v>
      </c>
      <c r="B18" s="57" t="s">
        <v>539</v>
      </c>
    </row>
    <row r="19" spans="1:2" ht="14.25" customHeight="1" x14ac:dyDescent="0.2">
      <c r="A19" s="17">
        <v>109</v>
      </c>
      <c r="B19" s="57" t="s">
        <v>641</v>
      </c>
    </row>
    <row r="20" spans="1:2" ht="14.25" customHeight="1" x14ac:dyDescent="0.2">
      <c r="A20" s="19">
        <v>110</v>
      </c>
      <c r="B20" s="58" t="s">
        <v>84</v>
      </c>
    </row>
    <row r="21" spans="1:2" ht="14.25" customHeight="1" x14ac:dyDescent="0.2">
      <c r="A21" s="17">
        <v>111</v>
      </c>
      <c r="B21" s="57" t="s">
        <v>323</v>
      </c>
    </row>
    <row r="22" spans="1:2" ht="14.25" customHeight="1" x14ac:dyDescent="0.2">
      <c r="A22" s="17">
        <v>112</v>
      </c>
      <c r="B22" s="57" t="s">
        <v>422</v>
      </c>
    </row>
    <row r="23" spans="1:2" ht="14.25" customHeight="1" x14ac:dyDescent="0.2">
      <c r="A23" s="17">
        <v>118</v>
      </c>
      <c r="B23" s="57" t="s">
        <v>835</v>
      </c>
    </row>
    <row r="24" spans="1:2" ht="14.25" customHeight="1" x14ac:dyDescent="0.2">
      <c r="A24" s="17">
        <v>119</v>
      </c>
      <c r="B24" s="57" t="s">
        <v>862</v>
      </c>
    </row>
    <row r="25" spans="1:2" ht="14.25" customHeight="1" x14ac:dyDescent="0.2">
      <c r="A25" s="17">
        <v>122</v>
      </c>
      <c r="B25" s="57" t="s">
        <v>987</v>
      </c>
    </row>
    <row r="26" spans="1:2" ht="14.25" customHeight="1" x14ac:dyDescent="0.2">
      <c r="A26" s="17">
        <v>125</v>
      </c>
      <c r="B26" s="57" t="s">
        <v>425</v>
      </c>
    </row>
    <row r="27" spans="1:2" ht="14.25" customHeight="1" x14ac:dyDescent="0.2">
      <c r="A27" s="17">
        <v>128</v>
      </c>
      <c r="B27" s="57" t="s">
        <v>736</v>
      </c>
    </row>
    <row r="28" spans="1:2" ht="14.25" customHeight="1" x14ac:dyDescent="0.2">
      <c r="A28" s="17">
        <v>130</v>
      </c>
      <c r="B28" s="57" t="s">
        <v>69</v>
      </c>
    </row>
    <row r="29" spans="1:2" ht="14.25" customHeight="1" x14ac:dyDescent="0.2">
      <c r="A29" s="17">
        <v>131</v>
      </c>
      <c r="B29" s="57" t="s">
        <v>494</v>
      </c>
    </row>
    <row r="30" spans="1:2" ht="14.25" customHeight="1" x14ac:dyDescent="0.2">
      <c r="A30" s="17">
        <v>133</v>
      </c>
      <c r="B30" s="57" t="s">
        <v>1036</v>
      </c>
    </row>
    <row r="31" spans="1:2" ht="14.25" customHeight="1" x14ac:dyDescent="0.2">
      <c r="A31" s="19">
        <v>133</v>
      </c>
      <c r="B31" s="57" t="s">
        <v>1038</v>
      </c>
    </row>
    <row r="32" spans="1:2" ht="14.25" customHeight="1" x14ac:dyDescent="0.2">
      <c r="A32" s="17">
        <v>134</v>
      </c>
      <c r="B32" s="57" t="s">
        <v>254</v>
      </c>
    </row>
    <row r="33" spans="1:2" ht="14.25" customHeight="1" x14ac:dyDescent="0.2">
      <c r="A33" s="17">
        <v>135</v>
      </c>
      <c r="B33" s="57" t="s">
        <v>380</v>
      </c>
    </row>
    <row r="34" spans="1:2" ht="14.25" customHeight="1" x14ac:dyDescent="0.2">
      <c r="A34" s="17">
        <v>136</v>
      </c>
      <c r="B34" s="57" t="s">
        <v>718</v>
      </c>
    </row>
    <row r="35" spans="1:2" ht="14.25" customHeight="1" x14ac:dyDescent="0.2">
      <c r="A35" s="17">
        <v>137</v>
      </c>
      <c r="B35" s="57" t="s">
        <v>723</v>
      </c>
    </row>
    <row r="36" spans="1:2" ht="14.25" customHeight="1" x14ac:dyDescent="0.2">
      <c r="A36" s="17">
        <v>141</v>
      </c>
      <c r="B36" s="57" t="s">
        <v>257</v>
      </c>
    </row>
    <row r="37" spans="1:2" ht="14.25" customHeight="1" x14ac:dyDescent="0.2">
      <c r="A37" s="17">
        <v>145</v>
      </c>
      <c r="B37" s="57" t="s">
        <v>584</v>
      </c>
    </row>
    <row r="38" spans="1:2" ht="14.25" customHeight="1" x14ac:dyDescent="0.2">
      <c r="A38" s="17">
        <v>147</v>
      </c>
      <c r="B38" s="57" t="s">
        <v>674</v>
      </c>
    </row>
    <row r="39" spans="1:2" ht="14.25" customHeight="1" x14ac:dyDescent="0.2">
      <c r="A39" s="17">
        <v>153</v>
      </c>
      <c r="B39" s="57" t="s">
        <v>227</v>
      </c>
    </row>
    <row r="40" spans="1:2" ht="14.25" customHeight="1" x14ac:dyDescent="0.2">
      <c r="A40" s="17">
        <v>154</v>
      </c>
      <c r="B40" s="57" t="s">
        <v>67</v>
      </c>
    </row>
    <row r="41" spans="1:2" ht="14.25" customHeight="1" x14ac:dyDescent="0.2">
      <c r="A41" s="17">
        <v>155</v>
      </c>
      <c r="B41" s="57" t="s">
        <v>480</v>
      </c>
    </row>
    <row r="42" spans="1:2" ht="14.25" customHeight="1" x14ac:dyDescent="0.2">
      <c r="A42" s="17">
        <v>156</v>
      </c>
      <c r="B42" s="57" t="s">
        <v>619</v>
      </c>
    </row>
    <row r="43" spans="1:2" ht="14.25" customHeight="1" x14ac:dyDescent="0.2">
      <c r="A43" s="17">
        <v>162</v>
      </c>
      <c r="B43" s="57" t="s">
        <v>645</v>
      </c>
    </row>
    <row r="44" spans="1:2" ht="14.25" customHeight="1" x14ac:dyDescent="0.2">
      <c r="A44" s="17">
        <v>163</v>
      </c>
      <c r="B44" s="57" t="s">
        <v>757</v>
      </c>
    </row>
    <row r="45" spans="1:2" ht="14.25" customHeight="1" x14ac:dyDescent="0.2">
      <c r="A45" s="17">
        <v>167</v>
      </c>
      <c r="B45" s="57" t="s">
        <v>1033</v>
      </c>
    </row>
    <row r="46" spans="1:2" ht="14.25" customHeight="1" x14ac:dyDescent="0.2">
      <c r="A46" s="17">
        <v>168</v>
      </c>
      <c r="B46" s="57" t="s">
        <v>431</v>
      </c>
    </row>
    <row r="47" spans="1:2" ht="14.25" customHeight="1" x14ac:dyDescent="0.2">
      <c r="A47" s="17">
        <v>170</v>
      </c>
      <c r="B47" s="57" t="s">
        <v>601</v>
      </c>
    </row>
    <row r="48" spans="1:2" ht="14.25" customHeight="1" x14ac:dyDescent="0.2">
      <c r="A48" s="17">
        <v>171</v>
      </c>
      <c r="B48" s="57" t="s">
        <v>841</v>
      </c>
    </row>
    <row r="49" spans="1:2" ht="14.25" customHeight="1" x14ac:dyDescent="0.2">
      <c r="A49" s="17">
        <v>172</v>
      </c>
      <c r="B49" s="57" t="s">
        <v>593</v>
      </c>
    </row>
    <row r="50" spans="1:2" ht="14.25" customHeight="1" x14ac:dyDescent="0.2">
      <c r="A50" s="17">
        <v>172</v>
      </c>
      <c r="B50" s="57" t="s">
        <v>721</v>
      </c>
    </row>
    <row r="51" spans="1:2" ht="14.25" customHeight="1" x14ac:dyDescent="0.2">
      <c r="A51" s="17">
        <v>173</v>
      </c>
      <c r="B51" s="57" t="s">
        <v>144</v>
      </c>
    </row>
    <row r="52" spans="1:2" ht="14.25" customHeight="1" x14ac:dyDescent="0.2">
      <c r="A52" s="17">
        <v>174</v>
      </c>
      <c r="B52" s="57" t="s">
        <v>171</v>
      </c>
    </row>
    <row r="53" spans="1:2" ht="14.25" customHeight="1" x14ac:dyDescent="0.2">
      <c r="A53" s="17">
        <v>175</v>
      </c>
      <c r="B53" s="57" t="s">
        <v>548</v>
      </c>
    </row>
    <row r="54" spans="1:2" ht="14.25" customHeight="1" x14ac:dyDescent="0.2">
      <c r="A54" s="17">
        <v>176</v>
      </c>
      <c r="B54" s="57" t="s">
        <v>520</v>
      </c>
    </row>
    <row r="55" spans="1:2" ht="14.25" customHeight="1" x14ac:dyDescent="0.2">
      <c r="A55" s="17">
        <v>183</v>
      </c>
      <c r="B55" s="57" t="s">
        <v>774</v>
      </c>
    </row>
    <row r="56" spans="1:2" ht="14.25" customHeight="1" x14ac:dyDescent="0.2">
      <c r="A56" s="17">
        <v>184</v>
      </c>
      <c r="B56" s="57" t="s">
        <v>973</v>
      </c>
    </row>
    <row r="57" spans="1:2" ht="14.25" customHeight="1" x14ac:dyDescent="0.2">
      <c r="A57" s="17">
        <v>187</v>
      </c>
      <c r="B57" s="57" t="s">
        <v>894</v>
      </c>
    </row>
    <row r="58" spans="1:2" ht="14.25" customHeight="1" x14ac:dyDescent="0.2">
      <c r="A58" s="17">
        <v>188</v>
      </c>
      <c r="B58" s="57" t="s">
        <v>242</v>
      </c>
    </row>
    <row r="59" spans="1:2" ht="14.25" customHeight="1" x14ac:dyDescent="0.2">
      <c r="A59" s="17">
        <v>202</v>
      </c>
      <c r="B59" s="57" t="s">
        <v>708</v>
      </c>
    </row>
    <row r="60" spans="1:2" ht="14.25" customHeight="1" x14ac:dyDescent="0.2">
      <c r="A60" s="17">
        <v>203</v>
      </c>
      <c r="B60" s="57" t="s">
        <v>330</v>
      </c>
    </row>
    <row r="61" spans="1:2" ht="14.25" customHeight="1" x14ac:dyDescent="0.2">
      <c r="A61" s="17">
        <v>210</v>
      </c>
      <c r="B61" s="57" t="s">
        <v>651</v>
      </c>
    </row>
    <row r="62" spans="1:2" ht="14.25" customHeight="1" x14ac:dyDescent="0.2">
      <c r="A62" s="17">
        <v>216</v>
      </c>
      <c r="B62" s="57" t="s">
        <v>127</v>
      </c>
    </row>
    <row r="63" spans="1:2" ht="14.25" customHeight="1" x14ac:dyDescent="0.2">
      <c r="A63" s="17">
        <v>219</v>
      </c>
      <c r="B63" s="57" t="s">
        <v>1010</v>
      </c>
    </row>
    <row r="64" spans="1:2" ht="14.25" customHeight="1" x14ac:dyDescent="0.2">
      <c r="A64" s="17">
        <v>248</v>
      </c>
      <c r="B64" s="57" t="s">
        <v>517</v>
      </c>
    </row>
    <row r="65" spans="1:2" ht="14.25" customHeight="1" x14ac:dyDescent="0.2">
      <c r="A65" s="17">
        <v>319</v>
      </c>
      <c r="B65" s="57" t="s">
        <v>262</v>
      </c>
    </row>
    <row r="66" spans="1:2" ht="14.25" customHeight="1" x14ac:dyDescent="0.2">
      <c r="A66" s="17">
        <v>322</v>
      </c>
      <c r="B66" s="57" t="s">
        <v>790</v>
      </c>
    </row>
    <row r="67" spans="1:2" ht="14.25" customHeight="1" x14ac:dyDescent="0.2">
      <c r="A67" s="17">
        <v>323</v>
      </c>
      <c r="B67" s="57" t="s">
        <v>908</v>
      </c>
    </row>
    <row r="68" spans="1:2" ht="14.25" customHeight="1" x14ac:dyDescent="0.2">
      <c r="A68" s="17">
        <v>324</v>
      </c>
      <c r="B68" s="57" t="s">
        <v>224</v>
      </c>
    </row>
    <row r="69" spans="1:2" ht="14.25" customHeight="1" x14ac:dyDescent="0.2">
      <c r="A69" s="17">
        <v>325</v>
      </c>
      <c r="B69" s="57" t="s">
        <v>201</v>
      </c>
    </row>
    <row r="70" spans="1:2" ht="14.25" customHeight="1" x14ac:dyDescent="0.2">
      <c r="A70" s="17">
        <v>326</v>
      </c>
      <c r="B70" s="57" t="s">
        <v>977</v>
      </c>
    </row>
    <row r="71" spans="1:2" ht="14.25" customHeight="1" x14ac:dyDescent="0.2">
      <c r="A71" s="17">
        <v>327</v>
      </c>
      <c r="B71" s="57" t="s">
        <v>108</v>
      </c>
    </row>
    <row r="72" spans="1:2" ht="14.25" customHeight="1" x14ac:dyDescent="0.2">
      <c r="A72" s="17">
        <v>328</v>
      </c>
      <c r="B72" s="57" t="s">
        <v>859</v>
      </c>
    </row>
    <row r="73" spans="1:2" ht="14.25" customHeight="1" x14ac:dyDescent="0.2">
      <c r="A73" s="17">
        <v>329</v>
      </c>
      <c r="B73" s="57" t="s">
        <v>636</v>
      </c>
    </row>
    <row r="74" spans="1:2" ht="14.25" customHeight="1" x14ac:dyDescent="0.2">
      <c r="A74" s="17">
        <v>330</v>
      </c>
      <c r="B74" s="57" t="s">
        <v>211</v>
      </c>
    </row>
    <row r="75" spans="1:2" ht="14.25" customHeight="1" x14ac:dyDescent="0.2">
      <c r="A75" s="17">
        <v>331</v>
      </c>
      <c r="B75" s="57" t="s">
        <v>458</v>
      </c>
    </row>
    <row r="76" spans="1:2" ht="14.25" customHeight="1" x14ac:dyDescent="0.2">
      <c r="A76" s="17">
        <v>332</v>
      </c>
      <c r="B76" s="57" t="s">
        <v>872</v>
      </c>
    </row>
    <row r="77" spans="1:2" ht="14.25" customHeight="1" x14ac:dyDescent="0.2">
      <c r="A77" s="17">
        <v>334</v>
      </c>
      <c r="B77" s="57" t="s">
        <v>421</v>
      </c>
    </row>
    <row r="78" spans="1:2" ht="14.25" customHeight="1" x14ac:dyDescent="0.2">
      <c r="A78" s="17">
        <v>335</v>
      </c>
      <c r="B78" s="57" t="s">
        <v>386</v>
      </c>
    </row>
    <row r="79" spans="1:2" ht="14.25" customHeight="1" x14ac:dyDescent="0.2">
      <c r="A79" s="17">
        <v>336</v>
      </c>
      <c r="B79" s="57" t="s">
        <v>729</v>
      </c>
    </row>
    <row r="80" spans="1:2" ht="14.25" customHeight="1" x14ac:dyDescent="0.2">
      <c r="A80" s="17">
        <v>337</v>
      </c>
      <c r="B80" s="57" t="s">
        <v>114</v>
      </c>
    </row>
    <row r="81" spans="1:2" ht="14.25" customHeight="1" x14ac:dyDescent="0.2">
      <c r="A81" s="17">
        <v>338</v>
      </c>
      <c r="B81" s="57" t="s">
        <v>586</v>
      </c>
    </row>
    <row r="82" spans="1:2" ht="14.25" customHeight="1" x14ac:dyDescent="0.2">
      <c r="A82" s="17">
        <v>340</v>
      </c>
      <c r="B82" s="57" t="s">
        <v>364</v>
      </c>
    </row>
    <row r="83" spans="1:2" ht="14.25" customHeight="1" x14ac:dyDescent="0.2">
      <c r="A83" s="17">
        <v>342</v>
      </c>
      <c r="B83" s="57" t="s">
        <v>405</v>
      </c>
    </row>
    <row r="84" spans="1:2" ht="14.25" customHeight="1" x14ac:dyDescent="0.2">
      <c r="A84" s="17">
        <v>343</v>
      </c>
      <c r="B84" s="57" t="s">
        <v>972</v>
      </c>
    </row>
    <row r="85" spans="1:2" ht="14.25" customHeight="1" x14ac:dyDescent="0.2">
      <c r="A85" s="17">
        <v>344</v>
      </c>
      <c r="B85" s="57" t="s">
        <v>34</v>
      </c>
    </row>
    <row r="86" spans="1:2" ht="14.25" customHeight="1" x14ac:dyDescent="0.2">
      <c r="A86" s="17">
        <v>345</v>
      </c>
      <c r="B86" s="57" t="s">
        <v>598</v>
      </c>
    </row>
    <row r="87" spans="1:2" ht="14.25" customHeight="1" x14ac:dyDescent="0.2">
      <c r="A87" s="17">
        <v>346</v>
      </c>
      <c r="B87" s="57" t="s">
        <v>233</v>
      </c>
    </row>
    <row r="88" spans="1:2" ht="14.25" customHeight="1" x14ac:dyDescent="0.2">
      <c r="A88" s="17">
        <v>347</v>
      </c>
      <c r="B88" s="57" t="s">
        <v>104</v>
      </c>
    </row>
    <row r="89" spans="1:2" ht="14.25" customHeight="1" x14ac:dyDescent="0.2">
      <c r="A89" s="17">
        <v>349</v>
      </c>
      <c r="B89" s="57" t="s">
        <v>118</v>
      </c>
    </row>
    <row r="90" spans="1:2" ht="14.25" customHeight="1" x14ac:dyDescent="0.2">
      <c r="A90" s="17">
        <v>350</v>
      </c>
      <c r="B90" s="57" t="s">
        <v>731</v>
      </c>
    </row>
    <row r="91" spans="1:2" ht="14.25" customHeight="1" x14ac:dyDescent="0.2">
      <c r="A91" s="17">
        <v>351</v>
      </c>
      <c r="B91" s="57" t="s">
        <v>172</v>
      </c>
    </row>
    <row r="92" spans="1:2" ht="14.25" customHeight="1" x14ac:dyDescent="0.2">
      <c r="A92" s="17">
        <v>352</v>
      </c>
      <c r="B92" s="57" t="s">
        <v>234</v>
      </c>
    </row>
    <row r="93" spans="1:2" ht="14.25" customHeight="1" x14ac:dyDescent="0.2">
      <c r="A93" s="17">
        <v>353</v>
      </c>
      <c r="B93" s="57" t="s">
        <v>360</v>
      </c>
    </row>
    <row r="94" spans="1:2" ht="14.25" customHeight="1" x14ac:dyDescent="0.2">
      <c r="A94" s="17">
        <v>354</v>
      </c>
      <c r="B94" s="57" t="s">
        <v>545</v>
      </c>
    </row>
    <row r="95" spans="1:2" ht="14.25" customHeight="1" x14ac:dyDescent="0.2">
      <c r="A95" s="17">
        <v>357</v>
      </c>
      <c r="B95" s="57" t="s">
        <v>551</v>
      </c>
    </row>
    <row r="96" spans="1:2" ht="14.25" customHeight="1" x14ac:dyDescent="0.2">
      <c r="A96" s="17">
        <v>358</v>
      </c>
      <c r="B96" s="57" t="s">
        <v>352</v>
      </c>
    </row>
    <row r="97" spans="1:2" ht="14.25" customHeight="1" x14ac:dyDescent="0.2">
      <c r="A97" s="17">
        <v>359</v>
      </c>
      <c r="B97" s="57" t="s">
        <v>122</v>
      </c>
    </row>
    <row r="98" spans="1:2" ht="14.25" customHeight="1" x14ac:dyDescent="0.2">
      <c r="A98" s="17">
        <v>360</v>
      </c>
      <c r="B98" s="57" t="s">
        <v>72</v>
      </c>
    </row>
    <row r="99" spans="1:2" ht="14.25" customHeight="1" x14ac:dyDescent="0.2">
      <c r="A99" s="17">
        <v>361</v>
      </c>
      <c r="B99" s="57" t="s">
        <v>260</v>
      </c>
    </row>
    <row r="100" spans="1:2" ht="14.25" customHeight="1" x14ac:dyDescent="0.2">
      <c r="A100" s="17">
        <v>362</v>
      </c>
      <c r="B100" s="57" t="s">
        <v>202</v>
      </c>
    </row>
    <row r="101" spans="1:2" ht="14.25" customHeight="1" x14ac:dyDescent="0.2">
      <c r="A101" s="17">
        <v>363</v>
      </c>
      <c r="B101" s="57" t="s">
        <v>675</v>
      </c>
    </row>
    <row r="102" spans="1:2" ht="14.25" customHeight="1" x14ac:dyDescent="0.2">
      <c r="A102" s="17">
        <v>364</v>
      </c>
      <c r="B102" s="57" t="s">
        <v>659</v>
      </c>
    </row>
    <row r="103" spans="1:2" ht="14.25" customHeight="1" x14ac:dyDescent="0.2">
      <c r="A103" s="17">
        <v>365</v>
      </c>
      <c r="B103" s="57" t="s">
        <v>827</v>
      </c>
    </row>
    <row r="104" spans="1:2" ht="14.25" customHeight="1" x14ac:dyDescent="0.2">
      <c r="A104" s="17">
        <v>366</v>
      </c>
      <c r="B104" s="57" t="s">
        <v>678</v>
      </c>
    </row>
    <row r="105" spans="1:2" ht="14.25" customHeight="1" x14ac:dyDescent="0.2">
      <c r="A105" s="17">
        <v>367</v>
      </c>
      <c r="B105" s="57" t="s">
        <v>1034</v>
      </c>
    </row>
    <row r="106" spans="1:2" ht="14.25" customHeight="1" x14ac:dyDescent="0.2">
      <c r="A106" s="17">
        <v>368</v>
      </c>
      <c r="B106" s="57" t="s">
        <v>1020</v>
      </c>
    </row>
    <row r="107" spans="1:2" ht="14.25" customHeight="1" x14ac:dyDescent="0.2">
      <c r="A107" s="17">
        <v>369</v>
      </c>
      <c r="B107" s="57" t="s">
        <v>1019</v>
      </c>
    </row>
    <row r="108" spans="1:2" ht="14.25" customHeight="1" x14ac:dyDescent="0.2">
      <c r="A108" s="17">
        <v>370</v>
      </c>
      <c r="B108" s="57" t="s">
        <v>483</v>
      </c>
    </row>
    <row r="109" spans="1:2" ht="14.25" customHeight="1" x14ac:dyDescent="0.2">
      <c r="A109" s="17">
        <v>371</v>
      </c>
      <c r="B109" s="57" t="s">
        <v>481</v>
      </c>
    </row>
    <row r="110" spans="1:2" ht="14.25" customHeight="1" x14ac:dyDescent="0.2">
      <c r="A110" s="17">
        <v>372</v>
      </c>
      <c r="B110" s="57" t="s">
        <v>518</v>
      </c>
    </row>
    <row r="111" spans="1:2" ht="14.25" customHeight="1" x14ac:dyDescent="0.2">
      <c r="A111" s="17">
        <v>373</v>
      </c>
      <c r="B111" s="57" t="s">
        <v>557</v>
      </c>
    </row>
    <row r="112" spans="1:2" ht="14.25" customHeight="1" x14ac:dyDescent="0.2">
      <c r="A112" s="17">
        <v>374</v>
      </c>
      <c r="B112" s="57" t="s">
        <v>487</v>
      </c>
    </row>
    <row r="113" spans="1:2" ht="14.25" customHeight="1" x14ac:dyDescent="0.2">
      <c r="A113" s="17">
        <v>375</v>
      </c>
      <c r="B113" s="57" t="s">
        <v>534</v>
      </c>
    </row>
    <row r="114" spans="1:2" ht="14.25" customHeight="1" x14ac:dyDescent="0.2">
      <c r="A114" s="17">
        <v>376</v>
      </c>
      <c r="B114" s="57" t="s">
        <v>735</v>
      </c>
    </row>
    <row r="115" spans="1:2" ht="14.25" customHeight="1" x14ac:dyDescent="0.2">
      <c r="A115" s="17">
        <v>377</v>
      </c>
      <c r="B115" s="57" t="s">
        <v>672</v>
      </c>
    </row>
    <row r="116" spans="1:2" ht="14.25" customHeight="1" x14ac:dyDescent="0.2">
      <c r="A116" s="17">
        <v>378</v>
      </c>
      <c r="B116" s="57" t="s">
        <v>775</v>
      </c>
    </row>
    <row r="117" spans="1:2" ht="14.25" customHeight="1" x14ac:dyDescent="0.2">
      <c r="A117" s="17">
        <v>379</v>
      </c>
      <c r="B117" s="57" t="s">
        <v>724</v>
      </c>
    </row>
    <row r="118" spans="1:2" ht="14.25" customHeight="1" x14ac:dyDescent="0.2">
      <c r="A118" s="17">
        <v>380</v>
      </c>
      <c r="B118" s="57" t="s">
        <v>219</v>
      </c>
    </row>
    <row r="119" spans="1:2" ht="14.25" customHeight="1" x14ac:dyDescent="0.2">
      <c r="A119" s="17">
        <v>381</v>
      </c>
      <c r="B119" s="57" t="s">
        <v>709</v>
      </c>
    </row>
    <row r="120" spans="1:2" ht="14.25" customHeight="1" x14ac:dyDescent="0.2">
      <c r="A120" s="17">
        <v>382</v>
      </c>
      <c r="B120" s="57" t="s">
        <v>726</v>
      </c>
    </row>
    <row r="121" spans="1:2" ht="14.25" customHeight="1" x14ac:dyDescent="0.2">
      <c r="A121" s="17">
        <v>382</v>
      </c>
      <c r="B121" s="57" t="s">
        <v>732</v>
      </c>
    </row>
    <row r="122" spans="1:2" ht="14.25" customHeight="1" x14ac:dyDescent="0.2">
      <c r="A122" s="17">
        <v>383</v>
      </c>
      <c r="B122" s="57" t="s">
        <v>475</v>
      </c>
    </row>
    <row r="123" spans="1:2" ht="14.25" customHeight="1" x14ac:dyDescent="0.2">
      <c r="A123" s="17">
        <v>384</v>
      </c>
      <c r="B123" s="57" t="s">
        <v>737</v>
      </c>
    </row>
    <row r="124" spans="1:2" ht="14.25" customHeight="1" x14ac:dyDescent="0.2">
      <c r="A124" s="17">
        <v>385</v>
      </c>
      <c r="B124" s="57" t="s">
        <v>208</v>
      </c>
    </row>
    <row r="125" spans="1:2" ht="14.25" customHeight="1" x14ac:dyDescent="0.2">
      <c r="A125" s="17">
        <v>386</v>
      </c>
      <c r="B125" s="57" t="s">
        <v>758</v>
      </c>
    </row>
    <row r="126" spans="1:2" ht="14.25" customHeight="1" x14ac:dyDescent="0.2">
      <c r="A126" s="17">
        <v>388</v>
      </c>
      <c r="B126" s="57" t="s">
        <v>728</v>
      </c>
    </row>
    <row r="127" spans="1:2" ht="14.25" customHeight="1" x14ac:dyDescent="0.2">
      <c r="A127" s="17">
        <v>389</v>
      </c>
      <c r="B127" s="57" t="s">
        <v>198</v>
      </c>
    </row>
    <row r="128" spans="1:2" ht="14.25" customHeight="1" x14ac:dyDescent="0.2">
      <c r="A128" s="17">
        <v>390</v>
      </c>
      <c r="B128" s="57" t="s">
        <v>549</v>
      </c>
    </row>
    <row r="129" spans="1:2" ht="14.25" customHeight="1" x14ac:dyDescent="0.2">
      <c r="A129" s="17">
        <v>391</v>
      </c>
      <c r="B129" s="57" t="s">
        <v>117</v>
      </c>
    </row>
    <row r="130" spans="1:2" ht="14.25" customHeight="1" x14ac:dyDescent="0.2">
      <c r="A130" s="17">
        <v>392</v>
      </c>
      <c r="B130" s="57" t="s">
        <v>489</v>
      </c>
    </row>
    <row r="131" spans="1:2" ht="14.25" customHeight="1" x14ac:dyDescent="0.2">
      <c r="A131" s="17">
        <v>393</v>
      </c>
      <c r="B131" s="57" t="s">
        <v>812</v>
      </c>
    </row>
    <row r="132" spans="1:2" ht="14.25" customHeight="1" x14ac:dyDescent="0.2">
      <c r="A132" s="17">
        <v>394</v>
      </c>
      <c r="B132" s="57" t="s">
        <v>196</v>
      </c>
    </row>
    <row r="133" spans="1:2" ht="14.25" customHeight="1" x14ac:dyDescent="0.2">
      <c r="A133" s="17">
        <v>395</v>
      </c>
      <c r="B133" s="57" t="s">
        <v>707</v>
      </c>
    </row>
    <row r="134" spans="1:2" ht="14.25" customHeight="1" x14ac:dyDescent="0.2">
      <c r="A134" s="17">
        <v>396</v>
      </c>
      <c r="B134" s="57" t="s">
        <v>530</v>
      </c>
    </row>
    <row r="135" spans="1:2" ht="14.25" customHeight="1" x14ac:dyDescent="0.2">
      <c r="A135" s="17">
        <v>397</v>
      </c>
      <c r="B135" s="57" t="s">
        <v>781</v>
      </c>
    </row>
    <row r="136" spans="1:2" ht="14.25" customHeight="1" x14ac:dyDescent="0.2">
      <c r="A136" s="17">
        <v>398</v>
      </c>
      <c r="B136" s="57" t="s">
        <v>191</v>
      </c>
    </row>
    <row r="137" spans="1:2" ht="14.25" customHeight="1" x14ac:dyDescent="0.2">
      <c r="A137" s="17">
        <v>399</v>
      </c>
      <c r="B137" s="57" t="s">
        <v>717</v>
      </c>
    </row>
    <row r="138" spans="1:2" ht="14.25" customHeight="1" x14ac:dyDescent="0.2">
      <c r="A138" s="17">
        <v>400</v>
      </c>
      <c r="B138" s="57" t="s">
        <v>124</v>
      </c>
    </row>
    <row r="139" spans="1:2" ht="14.25" customHeight="1" x14ac:dyDescent="0.2">
      <c r="A139" s="17">
        <v>401</v>
      </c>
      <c r="B139" s="57" t="s">
        <v>544</v>
      </c>
    </row>
    <row r="140" spans="1:2" ht="14.25" customHeight="1" x14ac:dyDescent="0.2">
      <c r="A140" s="17">
        <v>402</v>
      </c>
      <c r="B140" s="57" t="s">
        <v>793</v>
      </c>
    </row>
    <row r="141" spans="1:2" ht="14.25" customHeight="1" x14ac:dyDescent="0.2">
      <c r="A141" s="17">
        <v>403</v>
      </c>
      <c r="B141" s="57" t="s">
        <v>962</v>
      </c>
    </row>
    <row r="142" spans="1:2" ht="14.25" customHeight="1" x14ac:dyDescent="0.2">
      <c r="A142" s="17">
        <v>405</v>
      </c>
      <c r="B142" s="57" t="s">
        <v>207</v>
      </c>
    </row>
    <row r="143" spans="1:2" ht="14.25" customHeight="1" x14ac:dyDescent="0.2">
      <c r="A143" s="17">
        <v>406</v>
      </c>
      <c r="B143" s="57" t="s">
        <v>392</v>
      </c>
    </row>
    <row r="144" spans="1:2" ht="14.25" customHeight="1" x14ac:dyDescent="0.2">
      <c r="A144" s="17">
        <v>407</v>
      </c>
      <c r="B144" s="57" t="s">
        <v>180</v>
      </c>
    </row>
    <row r="145" spans="1:2" ht="14.25" customHeight="1" x14ac:dyDescent="0.2">
      <c r="A145" s="17">
        <v>408</v>
      </c>
      <c r="B145" s="57" t="s">
        <v>463</v>
      </c>
    </row>
    <row r="146" spans="1:2" ht="14.25" customHeight="1" x14ac:dyDescent="0.2">
      <c r="A146" s="17">
        <v>409</v>
      </c>
      <c r="B146" s="57" t="s">
        <v>484</v>
      </c>
    </row>
    <row r="147" spans="1:2" ht="14.25" customHeight="1" x14ac:dyDescent="0.2">
      <c r="A147" s="17">
        <v>410</v>
      </c>
      <c r="B147" s="57" t="s">
        <v>720</v>
      </c>
    </row>
    <row r="148" spans="1:2" ht="14.25" customHeight="1" x14ac:dyDescent="0.2">
      <c r="A148" s="17">
        <v>411</v>
      </c>
      <c r="B148" s="57" t="s">
        <v>66</v>
      </c>
    </row>
    <row r="149" spans="1:2" ht="14.25" customHeight="1" x14ac:dyDescent="0.2">
      <c r="A149" s="17">
        <v>412</v>
      </c>
      <c r="B149" s="57" t="s">
        <v>831</v>
      </c>
    </row>
    <row r="150" spans="1:2" ht="14.25" customHeight="1" x14ac:dyDescent="0.2">
      <c r="A150" s="17">
        <v>413</v>
      </c>
      <c r="B150" s="57" t="s">
        <v>40</v>
      </c>
    </row>
    <row r="151" spans="1:2" ht="14.25" customHeight="1" x14ac:dyDescent="0.2">
      <c r="A151" s="17">
        <v>414</v>
      </c>
      <c r="B151" s="57" t="s">
        <v>237</v>
      </c>
    </row>
    <row r="152" spans="1:2" ht="14.25" customHeight="1" x14ac:dyDescent="0.2">
      <c r="A152" s="17">
        <v>415</v>
      </c>
      <c r="B152" s="57" t="s">
        <v>272</v>
      </c>
    </row>
    <row r="153" spans="1:2" ht="14.25" customHeight="1" x14ac:dyDescent="0.2">
      <c r="A153" s="17">
        <v>416</v>
      </c>
      <c r="B153" s="57" t="s">
        <v>811</v>
      </c>
    </row>
    <row r="154" spans="1:2" ht="14.25" customHeight="1" x14ac:dyDescent="0.2">
      <c r="A154" s="17">
        <v>417</v>
      </c>
      <c r="B154" s="57" t="s">
        <v>537</v>
      </c>
    </row>
    <row r="155" spans="1:2" ht="14.25" customHeight="1" x14ac:dyDescent="0.2">
      <c r="A155" s="17">
        <v>418</v>
      </c>
      <c r="B155" s="57" t="s">
        <v>828</v>
      </c>
    </row>
    <row r="156" spans="1:2" ht="14.25" customHeight="1" x14ac:dyDescent="0.2">
      <c r="A156" s="17">
        <v>419</v>
      </c>
      <c r="B156" s="57" t="s">
        <v>200</v>
      </c>
    </row>
    <row r="157" spans="1:2" ht="14.25" customHeight="1" x14ac:dyDescent="0.2">
      <c r="A157" s="17">
        <v>420</v>
      </c>
      <c r="B157" s="57" t="s">
        <v>324</v>
      </c>
    </row>
    <row r="158" spans="1:2" ht="14.25" customHeight="1" x14ac:dyDescent="0.2">
      <c r="A158" s="17">
        <v>421</v>
      </c>
      <c r="B158" s="57" t="s">
        <v>997</v>
      </c>
    </row>
    <row r="159" spans="1:2" ht="14.25" customHeight="1" x14ac:dyDescent="0.2">
      <c r="A159" s="17">
        <v>422</v>
      </c>
      <c r="B159" s="57" t="s">
        <v>893</v>
      </c>
    </row>
    <row r="160" spans="1:2" ht="14.25" customHeight="1" x14ac:dyDescent="0.2">
      <c r="A160" s="17">
        <v>423</v>
      </c>
      <c r="B160" s="57" t="s">
        <v>558</v>
      </c>
    </row>
    <row r="161" spans="1:2" ht="14.25" customHeight="1" x14ac:dyDescent="0.2">
      <c r="A161" s="17">
        <v>425</v>
      </c>
      <c r="B161" s="57" t="s">
        <v>222</v>
      </c>
    </row>
    <row r="162" spans="1:2" ht="14.25" customHeight="1" x14ac:dyDescent="0.2">
      <c r="A162" s="17">
        <v>426</v>
      </c>
      <c r="B162" s="57" t="s">
        <v>445</v>
      </c>
    </row>
    <row r="163" spans="1:2" ht="14.25" customHeight="1" x14ac:dyDescent="0.2">
      <c r="A163" s="17">
        <v>427</v>
      </c>
      <c r="B163" s="57" t="s">
        <v>170</v>
      </c>
    </row>
    <row r="164" spans="1:2" ht="14.25" customHeight="1" x14ac:dyDescent="0.2">
      <c r="A164" s="17">
        <v>428</v>
      </c>
      <c r="B164" s="57" t="s">
        <v>373</v>
      </c>
    </row>
    <row r="165" spans="1:2" ht="14.25" customHeight="1" x14ac:dyDescent="0.2">
      <c r="A165" s="17">
        <v>429</v>
      </c>
      <c r="B165" s="57" t="s">
        <v>139</v>
      </c>
    </row>
    <row r="166" spans="1:2" ht="14.25" customHeight="1" x14ac:dyDescent="0.2">
      <c r="A166" s="17">
        <v>430</v>
      </c>
      <c r="B166" s="57" t="s">
        <v>640</v>
      </c>
    </row>
    <row r="167" spans="1:2" ht="14.25" customHeight="1" x14ac:dyDescent="0.2">
      <c r="A167" s="17">
        <v>431</v>
      </c>
      <c r="B167" s="57" t="s">
        <v>673</v>
      </c>
    </row>
    <row r="168" spans="1:2" ht="14.25" customHeight="1" x14ac:dyDescent="0.2">
      <c r="A168" s="17">
        <v>432</v>
      </c>
      <c r="B168" s="57" t="s">
        <v>440</v>
      </c>
    </row>
    <row r="169" spans="1:2" ht="14.25" customHeight="1" x14ac:dyDescent="0.2">
      <c r="A169" s="17">
        <v>433</v>
      </c>
      <c r="B169" s="57" t="s">
        <v>328</v>
      </c>
    </row>
    <row r="170" spans="1:2" ht="14.25" customHeight="1" x14ac:dyDescent="0.2">
      <c r="A170" s="17">
        <v>434</v>
      </c>
      <c r="B170" s="57" t="s">
        <v>599</v>
      </c>
    </row>
    <row r="171" spans="1:2" ht="14.25" customHeight="1" x14ac:dyDescent="0.2">
      <c r="A171" s="17">
        <v>435</v>
      </c>
      <c r="B171" s="57" t="s">
        <v>895</v>
      </c>
    </row>
    <row r="172" spans="1:2" ht="14.25" customHeight="1" x14ac:dyDescent="0.2">
      <c r="A172" s="17">
        <v>436</v>
      </c>
      <c r="B172" s="57" t="s">
        <v>780</v>
      </c>
    </row>
    <row r="173" spans="1:2" ht="14.25" customHeight="1" x14ac:dyDescent="0.2">
      <c r="A173" s="17">
        <v>437</v>
      </c>
      <c r="B173" s="57" t="s">
        <v>805</v>
      </c>
    </row>
    <row r="174" spans="1:2" ht="14.25" customHeight="1" x14ac:dyDescent="0.2">
      <c r="A174" s="17">
        <v>438</v>
      </c>
      <c r="B174" s="57" t="s">
        <v>56</v>
      </c>
    </row>
    <row r="175" spans="1:2" ht="14.25" customHeight="1" x14ac:dyDescent="0.2">
      <c r="A175" s="17">
        <v>439</v>
      </c>
      <c r="B175" s="57" t="s">
        <v>760</v>
      </c>
    </row>
    <row r="176" spans="1:2" ht="14.25" customHeight="1" x14ac:dyDescent="0.2">
      <c r="A176" s="17">
        <v>440</v>
      </c>
      <c r="B176" s="57" t="s">
        <v>369</v>
      </c>
    </row>
    <row r="177" spans="1:2" ht="14.25" customHeight="1" x14ac:dyDescent="0.2">
      <c r="A177" s="17">
        <v>441</v>
      </c>
      <c r="B177" s="57" t="s">
        <v>341</v>
      </c>
    </row>
    <row r="178" spans="1:2" ht="14.25" customHeight="1" x14ac:dyDescent="0.2">
      <c r="A178" s="17">
        <v>442</v>
      </c>
      <c r="B178" s="57" t="s">
        <v>738</v>
      </c>
    </row>
    <row r="179" spans="1:2" ht="14.25" customHeight="1" x14ac:dyDescent="0.2">
      <c r="A179" s="17">
        <v>443</v>
      </c>
      <c r="B179" s="57" t="s">
        <v>867</v>
      </c>
    </row>
    <row r="180" spans="1:2" ht="14.25" customHeight="1" x14ac:dyDescent="0.2">
      <c r="A180" s="17">
        <v>444</v>
      </c>
      <c r="B180" s="57" t="s">
        <v>476</v>
      </c>
    </row>
    <row r="181" spans="1:2" ht="14.25" customHeight="1" x14ac:dyDescent="0.2">
      <c r="A181" s="17">
        <v>445</v>
      </c>
      <c r="B181" s="57" t="s">
        <v>926</v>
      </c>
    </row>
    <row r="182" spans="1:2" ht="14.25" customHeight="1" x14ac:dyDescent="0.2">
      <c r="A182" s="17">
        <v>446</v>
      </c>
      <c r="B182" s="57" t="s">
        <v>904</v>
      </c>
    </row>
    <row r="183" spans="1:2" ht="14.25" customHeight="1" x14ac:dyDescent="0.2">
      <c r="A183" s="17">
        <v>447</v>
      </c>
      <c r="B183" s="57" t="s">
        <v>869</v>
      </c>
    </row>
    <row r="184" spans="1:2" ht="14.25" customHeight="1" x14ac:dyDescent="0.2">
      <c r="A184" s="17">
        <v>448</v>
      </c>
      <c r="B184" s="57" t="s">
        <v>588</v>
      </c>
    </row>
    <row r="185" spans="1:2" ht="14.25" customHeight="1" x14ac:dyDescent="0.2">
      <c r="A185" s="17">
        <v>449</v>
      </c>
      <c r="B185" s="57" t="s">
        <v>799</v>
      </c>
    </row>
    <row r="186" spans="1:2" ht="14.25" customHeight="1" x14ac:dyDescent="0.2">
      <c r="A186" s="17">
        <v>450</v>
      </c>
      <c r="B186" s="57" t="s">
        <v>946</v>
      </c>
    </row>
    <row r="187" spans="1:2" ht="14.25" customHeight="1" x14ac:dyDescent="0.2">
      <c r="A187" s="17">
        <v>451</v>
      </c>
      <c r="B187" s="57" t="s">
        <v>706</v>
      </c>
    </row>
    <row r="188" spans="1:2" ht="14.25" customHeight="1" x14ac:dyDescent="0.2">
      <c r="A188" s="17">
        <v>452</v>
      </c>
      <c r="B188" s="57" t="s">
        <v>276</v>
      </c>
    </row>
    <row r="189" spans="1:2" ht="14.25" customHeight="1" x14ac:dyDescent="0.2">
      <c r="A189" s="17">
        <v>453</v>
      </c>
      <c r="B189" s="57" t="s">
        <v>1029</v>
      </c>
    </row>
    <row r="190" spans="1:2" ht="14.25" customHeight="1" x14ac:dyDescent="0.2">
      <c r="A190" s="17">
        <v>454</v>
      </c>
      <c r="B190" s="57" t="s">
        <v>86</v>
      </c>
    </row>
    <row r="191" spans="1:2" ht="14.25" customHeight="1" x14ac:dyDescent="0.2">
      <c r="A191" s="17">
        <v>455</v>
      </c>
      <c r="B191" s="57" t="s">
        <v>1191</v>
      </c>
    </row>
    <row r="192" spans="1:2" ht="14.25" customHeight="1" x14ac:dyDescent="0.2">
      <c r="A192" s="17">
        <v>456</v>
      </c>
      <c r="B192" s="57" t="s">
        <v>560</v>
      </c>
    </row>
    <row r="193" spans="1:2" ht="14.25" customHeight="1" x14ac:dyDescent="0.2">
      <c r="A193" s="17">
        <v>457</v>
      </c>
      <c r="B193" s="57" t="s">
        <v>603</v>
      </c>
    </row>
    <row r="194" spans="1:2" ht="14.25" customHeight="1" x14ac:dyDescent="0.2">
      <c r="A194" s="17">
        <v>458</v>
      </c>
      <c r="B194" s="57" t="s">
        <v>402</v>
      </c>
    </row>
    <row r="195" spans="1:2" ht="14.25" customHeight="1" x14ac:dyDescent="0.2">
      <c r="A195" s="17">
        <v>459</v>
      </c>
      <c r="B195" s="57" t="s">
        <v>55</v>
      </c>
    </row>
    <row r="196" spans="1:2" ht="14.25" customHeight="1" x14ac:dyDescent="0.2">
      <c r="A196" s="17">
        <v>460</v>
      </c>
      <c r="B196" s="57" t="s">
        <v>192</v>
      </c>
    </row>
    <row r="197" spans="1:2" ht="14.25" customHeight="1" x14ac:dyDescent="0.2">
      <c r="A197" s="17">
        <v>461</v>
      </c>
      <c r="B197" s="57" t="s">
        <v>236</v>
      </c>
    </row>
    <row r="198" spans="1:2" ht="14.25" customHeight="1" x14ac:dyDescent="0.2">
      <c r="A198" s="17">
        <v>462</v>
      </c>
      <c r="B198" s="57" t="s">
        <v>881</v>
      </c>
    </row>
    <row r="199" spans="1:2" ht="14.25" customHeight="1" x14ac:dyDescent="0.2">
      <c r="A199" s="17">
        <v>463</v>
      </c>
      <c r="B199" s="57" t="s">
        <v>919</v>
      </c>
    </row>
    <row r="200" spans="1:2" ht="14.25" customHeight="1" x14ac:dyDescent="0.2">
      <c r="A200" s="17">
        <v>464</v>
      </c>
      <c r="B200" s="57" t="s">
        <v>78</v>
      </c>
    </row>
    <row r="201" spans="1:2" ht="14.25" customHeight="1" x14ac:dyDescent="0.2">
      <c r="A201" s="17">
        <v>465</v>
      </c>
      <c r="B201" s="57" t="s">
        <v>213</v>
      </c>
    </row>
    <row r="202" spans="1:2" ht="14.25" customHeight="1" x14ac:dyDescent="0.2">
      <c r="A202" s="17">
        <v>466</v>
      </c>
      <c r="B202" s="57" t="s">
        <v>885</v>
      </c>
    </row>
    <row r="203" spans="1:2" ht="14.25" customHeight="1" x14ac:dyDescent="0.2">
      <c r="A203" s="17">
        <v>467</v>
      </c>
      <c r="B203" s="57" t="s">
        <v>215</v>
      </c>
    </row>
    <row r="204" spans="1:2" ht="14.25" customHeight="1" x14ac:dyDescent="0.2">
      <c r="A204" s="17">
        <v>468</v>
      </c>
      <c r="B204" s="57" t="s">
        <v>564</v>
      </c>
    </row>
    <row r="205" spans="1:2" ht="14.25" customHeight="1" x14ac:dyDescent="0.2">
      <c r="A205" s="17">
        <v>470</v>
      </c>
      <c r="B205" s="57" t="s">
        <v>634</v>
      </c>
    </row>
    <row r="206" spans="1:2" ht="14.25" customHeight="1" x14ac:dyDescent="0.2">
      <c r="A206" s="17">
        <v>471</v>
      </c>
      <c r="B206" s="57" t="s">
        <v>553</v>
      </c>
    </row>
    <row r="207" spans="1:2" ht="14.25" customHeight="1" x14ac:dyDescent="0.2">
      <c r="A207" s="17">
        <v>472</v>
      </c>
      <c r="B207" s="57" t="s">
        <v>766</v>
      </c>
    </row>
    <row r="208" spans="1:2" ht="14.25" customHeight="1" x14ac:dyDescent="0.2">
      <c r="A208" s="17">
        <v>473</v>
      </c>
      <c r="B208" s="57" t="s">
        <v>311</v>
      </c>
    </row>
    <row r="209" spans="1:2" ht="14.25" customHeight="1" x14ac:dyDescent="0.2">
      <c r="A209" s="17">
        <v>474</v>
      </c>
      <c r="B209" s="57" t="s">
        <v>110</v>
      </c>
    </row>
    <row r="210" spans="1:2" ht="14.25" customHeight="1" x14ac:dyDescent="0.2">
      <c r="A210" s="17">
        <v>475</v>
      </c>
      <c r="B210" s="57" t="s">
        <v>694</v>
      </c>
    </row>
    <row r="211" spans="1:2" ht="14.25" customHeight="1" x14ac:dyDescent="0.2">
      <c r="A211" s="17">
        <v>476</v>
      </c>
      <c r="B211" s="57" t="s">
        <v>563</v>
      </c>
    </row>
    <row r="212" spans="1:2" ht="14.25" customHeight="1" x14ac:dyDescent="0.2">
      <c r="A212" s="17">
        <v>477</v>
      </c>
      <c r="B212" s="57" t="s">
        <v>980</v>
      </c>
    </row>
    <row r="213" spans="1:2" ht="14.25" customHeight="1" x14ac:dyDescent="0.2">
      <c r="A213" s="17">
        <v>478</v>
      </c>
      <c r="B213" s="57" t="s">
        <v>362</v>
      </c>
    </row>
    <row r="214" spans="1:2" ht="14.25" customHeight="1" x14ac:dyDescent="0.2">
      <c r="A214" s="17">
        <v>479</v>
      </c>
      <c r="B214" s="57" t="s">
        <v>854</v>
      </c>
    </row>
    <row r="215" spans="1:2" ht="14.25" customHeight="1" x14ac:dyDescent="0.2">
      <c r="A215" s="17">
        <v>480</v>
      </c>
      <c r="B215" s="57" t="s">
        <v>183</v>
      </c>
    </row>
    <row r="216" spans="1:2" ht="14.25" customHeight="1" x14ac:dyDescent="0.2">
      <c r="A216" s="17">
        <v>481</v>
      </c>
      <c r="B216" s="57" t="s">
        <v>679</v>
      </c>
    </row>
    <row r="217" spans="1:2" ht="14.25" customHeight="1" x14ac:dyDescent="0.2">
      <c r="A217" s="17">
        <v>482</v>
      </c>
      <c r="B217" s="57" t="s">
        <v>507</v>
      </c>
    </row>
    <row r="218" spans="1:2" ht="14.25" customHeight="1" x14ac:dyDescent="0.2">
      <c r="A218" s="17">
        <v>483</v>
      </c>
      <c r="B218" s="57" t="s">
        <v>585</v>
      </c>
    </row>
    <row r="219" spans="1:2" ht="14.25" customHeight="1" x14ac:dyDescent="0.2">
      <c r="A219" s="19">
        <v>483</v>
      </c>
      <c r="B219" s="58" t="s">
        <v>585</v>
      </c>
    </row>
    <row r="220" spans="1:2" ht="14.25" customHeight="1" x14ac:dyDescent="0.2">
      <c r="A220" s="17">
        <v>484</v>
      </c>
      <c r="B220" s="57" t="s">
        <v>716</v>
      </c>
    </row>
    <row r="221" spans="1:2" ht="14.25" customHeight="1" x14ac:dyDescent="0.2">
      <c r="A221" s="17">
        <v>485</v>
      </c>
      <c r="B221" s="57" t="s">
        <v>667</v>
      </c>
    </row>
    <row r="222" spans="1:2" ht="14.25" customHeight="1" x14ac:dyDescent="0.2">
      <c r="A222" s="17">
        <v>486</v>
      </c>
      <c r="B222" s="57" t="s">
        <v>806</v>
      </c>
    </row>
    <row r="223" spans="1:2" ht="14.25" customHeight="1" x14ac:dyDescent="0.2">
      <c r="A223" s="17">
        <v>487</v>
      </c>
      <c r="B223" s="57" t="s">
        <v>990</v>
      </c>
    </row>
    <row r="224" spans="1:2" ht="14.25" customHeight="1" x14ac:dyDescent="0.2">
      <c r="A224" s="17">
        <v>488</v>
      </c>
      <c r="B224" s="57" t="s">
        <v>840</v>
      </c>
    </row>
    <row r="225" spans="1:2" ht="14.25" customHeight="1" x14ac:dyDescent="0.2">
      <c r="A225" s="17">
        <v>489</v>
      </c>
      <c r="B225" s="57" t="s">
        <v>644</v>
      </c>
    </row>
    <row r="226" spans="1:2" ht="14.25" customHeight="1" x14ac:dyDescent="0.2">
      <c r="A226" s="17">
        <v>490</v>
      </c>
      <c r="B226" s="57" t="s">
        <v>315</v>
      </c>
    </row>
    <row r="227" spans="1:2" ht="14.25" customHeight="1" x14ac:dyDescent="0.2">
      <c r="A227" s="17">
        <v>491</v>
      </c>
      <c r="B227" s="57" t="s">
        <v>637</v>
      </c>
    </row>
    <row r="228" spans="1:2" ht="14.25" customHeight="1" x14ac:dyDescent="0.2">
      <c r="A228" s="17">
        <v>492</v>
      </c>
      <c r="B228" s="57" t="s">
        <v>683</v>
      </c>
    </row>
    <row r="229" spans="1:2" ht="14.25" customHeight="1" x14ac:dyDescent="0.2">
      <c r="A229" s="17">
        <v>493</v>
      </c>
      <c r="B229" s="57" t="s">
        <v>971</v>
      </c>
    </row>
    <row r="230" spans="1:2" ht="14.25" customHeight="1" x14ac:dyDescent="0.2">
      <c r="A230" s="17">
        <v>494</v>
      </c>
      <c r="B230" s="57" t="s">
        <v>976</v>
      </c>
    </row>
    <row r="231" spans="1:2" ht="14.25" customHeight="1" x14ac:dyDescent="0.2">
      <c r="A231" s="17">
        <v>495</v>
      </c>
      <c r="B231" s="57" t="s">
        <v>933</v>
      </c>
    </row>
    <row r="232" spans="1:2" ht="14.25" customHeight="1" x14ac:dyDescent="0.2">
      <c r="A232" s="17">
        <v>496</v>
      </c>
      <c r="B232" s="57" t="s">
        <v>969</v>
      </c>
    </row>
    <row r="233" spans="1:2" ht="14.25" customHeight="1" x14ac:dyDescent="0.2">
      <c r="A233" s="17">
        <v>497</v>
      </c>
      <c r="B233" s="57" t="s">
        <v>410</v>
      </c>
    </row>
    <row r="234" spans="1:2" ht="14.25" customHeight="1" x14ac:dyDescent="0.2">
      <c r="A234" s="17">
        <v>498</v>
      </c>
      <c r="B234" s="57" t="s">
        <v>490</v>
      </c>
    </row>
    <row r="235" spans="1:2" ht="14.25" customHeight="1" x14ac:dyDescent="0.2">
      <c r="A235" s="17">
        <v>499</v>
      </c>
      <c r="B235" s="57" t="s">
        <v>468</v>
      </c>
    </row>
    <row r="236" spans="1:2" ht="14.25" customHeight="1" x14ac:dyDescent="0.2">
      <c r="A236" s="17">
        <v>500</v>
      </c>
      <c r="B236" s="57" t="s">
        <v>670</v>
      </c>
    </row>
    <row r="237" spans="1:2" ht="14.25" customHeight="1" x14ac:dyDescent="0.2">
      <c r="A237" s="17">
        <v>501</v>
      </c>
      <c r="B237" s="57" t="s">
        <v>594</v>
      </c>
    </row>
    <row r="238" spans="1:2" ht="14.25" customHeight="1" x14ac:dyDescent="0.2">
      <c r="A238" s="17">
        <v>502</v>
      </c>
      <c r="B238" s="57" t="s">
        <v>788</v>
      </c>
    </row>
    <row r="239" spans="1:2" ht="14.25" customHeight="1" x14ac:dyDescent="0.2">
      <c r="A239" s="17">
        <v>503</v>
      </c>
      <c r="B239" s="57" t="s">
        <v>773</v>
      </c>
    </row>
    <row r="240" spans="1:2" ht="14.25" customHeight="1" x14ac:dyDescent="0.2">
      <c r="A240" s="17">
        <v>504</v>
      </c>
      <c r="B240" s="57" t="s">
        <v>182</v>
      </c>
    </row>
    <row r="241" spans="1:2" ht="14.25" customHeight="1" x14ac:dyDescent="0.2">
      <c r="A241" s="17">
        <v>505</v>
      </c>
      <c r="B241" s="57" t="s">
        <v>1022</v>
      </c>
    </row>
    <row r="242" spans="1:2" ht="14.25" customHeight="1" x14ac:dyDescent="0.2">
      <c r="A242" s="17">
        <v>506</v>
      </c>
      <c r="B242" s="57" t="s">
        <v>244</v>
      </c>
    </row>
    <row r="243" spans="1:2" ht="14.25" customHeight="1" x14ac:dyDescent="0.2">
      <c r="A243" s="17">
        <v>507</v>
      </c>
      <c r="B243" s="57" t="s">
        <v>197</v>
      </c>
    </row>
    <row r="244" spans="1:2" ht="14.25" customHeight="1" x14ac:dyDescent="0.2">
      <c r="A244" s="17">
        <v>508</v>
      </c>
      <c r="B244" s="57" t="s">
        <v>582</v>
      </c>
    </row>
    <row r="245" spans="1:2" ht="14.25" customHeight="1" x14ac:dyDescent="0.2">
      <c r="A245" s="17">
        <v>509</v>
      </c>
      <c r="B245" s="57" t="s">
        <v>401</v>
      </c>
    </row>
    <row r="246" spans="1:2" ht="14.25" customHeight="1" x14ac:dyDescent="0.2">
      <c r="A246" s="17">
        <v>510</v>
      </c>
      <c r="B246" s="57" t="s">
        <v>502</v>
      </c>
    </row>
    <row r="247" spans="1:2" ht="14.25" customHeight="1" x14ac:dyDescent="0.2">
      <c r="A247" s="17">
        <v>511</v>
      </c>
      <c r="B247" s="57" t="s">
        <v>220</v>
      </c>
    </row>
    <row r="248" spans="1:2" ht="14.25" customHeight="1" x14ac:dyDescent="0.2">
      <c r="A248" s="17">
        <v>512</v>
      </c>
      <c r="B248" s="57" t="s">
        <v>743</v>
      </c>
    </row>
    <row r="249" spans="1:2" ht="14.25" customHeight="1" x14ac:dyDescent="0.2">
      <c r="A249" s="17">
        <v>513</v>
      </c>
      <c r="B249" s="57" t="s">
        <v>843</v>
      </c>
    </row>
    <row r="250" spans="1:2" ht="14.25" customHeight="1" x14ac:dyDescent="0.2">
      <c r="A250" s="17">
        <v>516</v>
      </c>
      <c r="B250" s="57" t="s">
        <v>906</v>
      </c>
    </row>
    <row r="251" spans="1:2" ht="14.25" customHeight="1" x14ac:dyDescent="0.2">
      <c r="A251" s="17">
        <v>517</v>
      </c>
      <c r="B251" s="57" t="s">
        <v>278</v>
      </c>
    </row>
    <row r="252" spans="1:2" ht="14.25" customHeight="1" x14ac:dyDescent="0.2">
      <c r="A252" s="17">
        <v>518</v>
      </c>
      <c r="B252" s="57" t="s">
        <v>963</v>
      </c>
    </row>
    <row r="253" spans="1:2" ht="14.25" customHeight="1" x14ac:dyDescent="0.2">
      <c r="A253" s="17">
        <v>519</v>
      </c>
      <c r="B253" s="57" t="s">
        <v>235</v>
      </c>
    </row>
    <row r="254" spans="1:2" ht="14.25" customHeight="1" x14ac:dyDescent="0.2">
      <c r="A254" s="17">
        <v>520</v>
      </c>
      <c r="B254" s="57" t="s">
        <v>506</v>
      </c>
    </row>
    <row r="255" spans="1:2" ht="14.25" customHeight="1" x14ac:dyDescent="0.2">
      <c r="A255" s="17">
        <v>521</v>
      </c>
      <c r="B255" s="57" t="s">
        <v>74</v>
      </c>
    </row>
    <row r="256" spans="1:2" ht="14.25" customHeight="1" x14ac:dyDescent="0.2">
      <c r="A256" s="17">
        <v>522</v>
      </c>
      <c r="B256" s="57" t="s">
        <v>681</v>
      </c>
    </row>
    <row r="257" spans="1:2" ht="14.25" customHeight="1" x14ac:dyDescent="0.2">
      <c r="A257" s="17">
        <v>523</v>
      </c>
      <c r="B257" s="57" t="s">
        <v>761</v>
      </c>
    </row>
    <row r="258" spans="1:2" ht="14.25" customHeight="1" x14ac:dyDescent="0.2">
      <c r="A258" s="17">
        <v>524</v>
      </c>
      <c r="B258" s="57" t="s">
        <v>956</v>
      </c>
    </row>
    <row r="259" spans="1:2" ht="14.25" customHeight="1" x14ac:dyDescent="0.2">
      <c r="A259" s="17">
        <v>525</v>
      </c>
      <c r="B259" s="57" t="s">
        <v>573</v>
      </c>
    </row>
    <row r="260" spans="1:2" ht="14.25" customHeight="1" x14ac:dyDescent="0.2">
      <c r="A260" s="17">
        <v>526</v>
      </c>
      <c r="B260" s="57" t="s">
        <v>657</v>
      </c>
    </row>
    <row r="261" spans="1:2" ht="14.25" customHeight="1" x14ac:dyDescent="0.2">
      <c r="A261" s="17">
        <v>527</v>
      </c>
      <c r="B261" s="57" t="s">
        <v>1031</v>
      </c>
    </row>
    <row r="262" spans="1:2" ht="14.25" customHeight="1" x14ac:dyDescent="0.2">
      <c r="A262" s="17">
        <v>528</v>
      </c>
      <c r="B262" s="57" t="s">
        <v>697</v>
      </c>
    </row>
    <row r="263" spans="1:2" ht="14.25" customHeight="1" x14ac:dyDescent="0.2">
      <c r="A263" s="17">
        <v>529</v>
      </c>
      <c r="B263" s="57" t="s">
        <v>419</v>
      </c>
    </row>
    <row r="264" spans="1:2" ht="14.25" customHeight="1" x14ac:dyDescent="0.2">
      <c r="A264" s="17">
        <v>530</v>
      </c>
      <c r="B264" s="57" t="s">
        <v>340</v>
      </c>
    </row>
    <row r="265" spans="1:2" ht="14.25" customHeight="1" x14ac:dyDescent="0.2">
      <c r="A265" s="17">
        <v>531</v>
      </c>
      <c r="B265" s="57" t="s">
        <v>1021</v>
      </c>
    </row>
    <row r="266" spans="1:2" ht="14.25" customHeight="1" x14ac:dyDescent="0.2">
      <c r="A266" s="17">
        <v>532</v>
      </c>
      <c r="B266" s="57" t="s">
        <v>447</v>
      </c>
    </row>
    <row r="267" spans="1:2" ht="14.25" customHeight="1" x14ac:dyDescent="0.2">
      <c r="A267" s="17">
        <v>533</v>
      </c>
      <c r="B267" s="57" t="s">
        <v>195</v>
      </c>
    </row>
    <row r="268" spans="1:2" ht="14.25" customHeight="1" x14ac:dyDescent="0.2">
      <c r="A268" s="17">
        <v>534</v>
      </c>
      <c r="B268" s="57" t="s">
        <v>1027</v>
      </c>
    </row>
    <row r="269" spans="1:2" ht="14.25" customHeight="1" x14ac:dyDescent="0.2">
      <c r="A269" s="17">
        <v>535</v>
      </c>
      <c r="B269" s="57" t="s">
        <v>929</v>
      </c>
    </row>
    <row r="270" spans="1:2" ht="14.25" customHeight="1" x14ac:dyDescent="0.2">
      <c r="A270" s="17">
        <v>536</v>
      </c>
      <c r="B270" s="57" t="s">
        <v>595</v>
      </c>
    </row>
    <row r="271" spans="1:2" ht="14.25" customHeight="1" x14ac:dyDescent="0.2">
      <c r="A271" s="17">
        <v>537</v>
      </c>
      <c r="B271" s="57" t="s">
        <v>994</v>
      </c>
    </row>
    <row r="272" spans="1:2" ht="14.25" customHeight="1" x14ac:dyDescent="0.2">
      <c r="A272" s="17">
        <v>538</v>
      </c>
      <c r="B272" s="57" t="s">
        <v>800</v>
      </c>
    </row>
    <row r="273" spans="1:2" ht="14.25" customHeight="1" x14ac:dyDescent="0.2">
      <c r="A273" s="17">
        <v>539</v>
      </c>
      <c r="B273" s="57" t="s">
        <v>747</v>
      </c>
    </row>
    <row r="274" spans="1:2" ht="14.25" customHeight="1" x14ac:dyDescent="0.2">
      <c r="A274" s="17">
        <v>541</v>
      </c>
      <c r="B274" s="57" t="s">
        <v>335</v>
      </c>
    </row>
    <row r="275" spans="1:2" ht="14.25" customHeight="1" x14ac:dyDescent="0.2">
      <c r="A275" s="17">
        <v>542</v>
      </c>
      <c r="B275" s="57" t="s">
        <v>152</v>
      </c>
    </row>
    <row r="276" spans="1:2" ht="14.25" customHeight="1" x14ac:dyDescent="0.2">
      <c r="A276" s="17">
        <v>543</v>
      </c>
      <c r="B276" s="57" t="s">
        <v>763</v>
      </c>
    </row>
    <row r="277" spans="1:2" ht="14.25" customHeight="1" x14ac:dyDescent="0.2">
      <c r="A277" s="17">
        <v>544</v>
      </c>
      <c r="B277" s="57" t="s">
        <v>892</v>
      </c>
    </row>
    <row r="278" spans="1:2" ht="14.25" customHeight="1" x14ac:dyDescent="0.2">
      <c r="A278" s="17">
        <v>545</v>
      </c>
      <c r="B278" s="57" t="s">
        <v>839</v>
      </c>
    </row>
    <row r="279" spans="1:2" ht="14.25" customHeight="1" x14ac:dyDescent="0.2">
      <c r="A279" s="17">
        <v>546</v>
      </c>
      <c r="B279" s="57" t="s">
        <v>50</v>
      </c>
    </row>
    <row r="280" spans="1:2" ht="14.25" customHeight="1" x14ac:dyDescent="0.2">
      <c r="A280" s="17">
        <v>548</v>
      </c>
      <c r="B280" s="57" t="s">
        <v>204</v>
      </c>
    </row>
    <row r="281" spans="1:2" ht="14.25" customHeight="1" x14ac:dyDescent="0.2">
      <c r="A281" s="17">
        <v>549</v>
      </c>
      <c r="B281" s="57" t="s">
        <v>700</v>
      </c>
    </row>
    <row r="282" spans="1:2" ht="14.25" customHeight="1" x14ac:dyDescent="0.2">
      <c r="A282" s="17">
        <v>550</v>
      </c>
      <c r="B282" s="57" t="s">
        <v>957</v>
      </c>
    </row>
    <row r="283" spans="1:2" ht="14.25" customHeight="1" x14ac:dyDescent="0.2">
      <c r="A283" s="17">
        <v>551</v>
      </c>
      <c r="B283" s="57" t="s">
        <v>713</v>
      </c>
    </row>
    <row r="284" spans="1:2" ht="14.25" customHeight="1" x14ac:dyDescent="0.2">
      <c r="A284" s="17">
        <v>552</v>
      </c>
      <c r="B284" s="57" t="s">
        <v>214</v>
      </c>
    </row>
    <row r="285" spans="1:2" ht="14.25" customHeight="1" x14ac:dyDescent="0.2">
      <c r="A285" s="17">
        <v>553</v>
      </c>
      <c r="B285" s="57" t="s">
        <v>116</v>
      </c>
    </row>
    <row r="286" spans="1:2" ht="14.25" customHeight="1" x14ac:dyDescent="0.2">
      <c r="A286" s="17">
        <v>554</v>
      </c>
      <c r="B286" s="57" t="s">
        <v>216</v>
      </c>
    </row>
    <row r="287" spans="1:2" ht="14.25" customHeight="1" x14ac:dyDescent="0.2">
      <c r="A287" s="17">
        <v>555</v>
      </c>
      <c r="B287" s="57" t="s">
        <v>950</v>
      </c>
    </row>
    <row r="288" spans="1:2" ht="14.25" customHeight="1" x14ac:dyDescent="0.2">
      <c r="A288" s="17">
        <v>556</v>
      </c>
      <c r="B288" s="57" t="s">
        <v>472</v>
      </c>
    </row>
    <row r="289" spans="1:2" ht="14.25" customHeight="1" x14ac:dyDescent="0.2">
      <c r="A289" s="17">
        <v>557</v>
      </c>
      <c r="B289" s="57" t="s">
        <v>206</v>
      </c>
    </row>
    <row r="290" spans="1:2" ht="14.25" customHeight="1" x14ac:dyDescent="0.2">
      <c r="A290" s="17">
        <v>558</v>
      </c>
      <c r="B290" s="57" t="s">
        <v>35</v>
      </c>
    </row>
    <row r="291" spans="1:2" ht="14.25" customHeight="1" x14ac:dyDescent="0.2">
      <c r="A291" s="17">
        <v>559</v>
      </c>
      <c r="B291" s="57" t="s">
        <v>36</v>
      </c>
    </row>
    <row r="292" spans="1:2" ht="14.25" customHeight="1" x14ac:dyDescent="0.2">
      <c r="A292" s="17">
        <v>560</v>
      </c>
      <c r="B292" s="57" t="s">
        <v>33</v>
      </c>
    </row>
    <row r="293" spans="1:2" ht="14.25" customHeight="1" x14ac:dyDescent="0.2">
      <c r="A293" s="17">
        <v>561</v>
      </c>
      <c r="B293" s="57" t="s">
        <v>23</v>
      </c>
    </row>
    <row r="294" spans="1:2" ht="14.25" customHeight="1" x14ac:dyDescent="0.2">
      <c r="A294" s="17">
        <v>562</v>
      </c>
      <c r="B294" s="57" t="s">
        <v>38</v>
      </c>
    </row>
    <row r="295" spans="1:2" ht="14.25" customHeight="1" x14ac:dyDescent="0.2">
      <c r="A295" s="17">
        <v>563</v>
      </c>
      <c r="B295" s="57" t="s">
        <v>28</v>
      </c>
    </row>
    <row r="296" spans="1:2" ht="14.25" customHeight="1" x14ac:dyDescent="0.2">
      <c r="A296" s="17">
        <v>564</v>
      </c>
      <c r="B296" s="57" t="s">
        <v>32</v>
      </c>
    </row>
    <row r="297" spans="1:2" ht="14.25" customHeight="1" x14ac:dyDescent="0.2">
      <c r="A297" s="17">
        <v>565</v>
      </c>
      <c r="B297" s="57" t="s">
        <v>30</v>
      </c>
    </row>
    <row r="298" spans="1:2" ht="14.25" customHeight="1" x14ac:dyDescent="0.2">
      <c r="A298" s="17">
        <v>566</v>
      </c>
      <c r="B298" s="57" t="s">
        <v>712</v>
      </c>
    </row>
    <row r="299" spans="1:2" ht="14.25" customHeight="1" x14ac:dyDescent="0.2">
      <c r="A299" s="17">
        <v>567</v>
      </c>
      <c r="B299" s="57" t="s">
        <v>29</v>
      </c>
    </row>
    <row r="300" spans="1:2" ht="14.25" customHeight="1" x14ac:dyDescent="0.2">
      <c r="A300" s="17">
        <v>568</v>
      </c>
      <c r="B300" s="57" t="s">
        <v>838</v>
      </c>
    </row>
    <row r="301" spans="1:2" ht="14.25" customHeight="1" x14ac:dyDescent="0.2">
      <c r="A301" s="17">
        <v>569</v>
      </c>
      <c r="B301" s="57" t="s">
        <v>41</v>
      </c>
    </row>
    <row r="302" spans="1:2" ht="14.25" customHeight="1" x14ac:dyDescent="0.2">
      <c r="A302" s="17">
        <v>573</v>
      </c>
      <c r="B302" s="57" t="s">
        <v>31</v>
      </c>
    </row>
    <row r="303" spans="1:2" ht="14.25" customHeight="1" x14ac:dyDescent="0.2">
      <c r="A303" s="17">
        <v>582</v>
      </c>
      <c r="B303" s="57" t="s">
        <v>44</v>
      </c>
    </row>
    <row r="304" spans="1:2" ht="14.25" customHeight="1" x14ac:dyDescent="0.2">
      <c r="A304" s="17">
        <v>587</v>
      </c>
      <c r="B304" s="57" t="s">
        <v>45</v>
      </c>
    </row>
    <row r="305" spans="1:2" ht="14.25" customHeight="1" x14ac:dyDescent="0.2">
      <c r="A305" s="17">
        <v>589</v>
      </c>
      <c r="B305" s="57" t="s">
        <v>39</v>
      </c>
    </row>
    <row r="306" spans="1:2" ht="14.25" customHeight="1" x14ac:dyDescent="0.2">
      <c r="A306" s="17">
        <v>600</v>
      </c>
      <c r="B306" s="57" t="s">
        <v>218</v>
      </c>
    </row>
    <row r="307" spans="1:2" ht="14.25" customHeight="1" x14ac:dyDescent="0.2">
      <c r="A307" s="19">
        <v>609</v>
      </c>
      <c r="B307" s="58" t="s">
        <v>1075</v>
      </c>
    </row>
    <row r="308" spans="1:2" ht="14.25" customHeight="1" x14ac:dyDescent="0.2">
      <c r="A308" s="17">
        <v>614</v>
      </c>
      <c r="B308" s="57" t="s">
        <v>176</v>
      </c>
    </row>
    <row r="309" spans="1:2" ht="14.25" customHeight="1" x14ac:dyDescent="0.2">
      <c r="A309" s="17">
        <v>615</v>
      </c>
      <c r="B309" s="57" t="s">
        <v>779</v>
      </c>
    </row>
    <row r="310" spans="1:2" ht="14.25" customHeight="1" x14ac:dyDescent="0.2">
      <c r="A310" s="17">
        <v>626</v>
      </c>
      <c r="B310" s="57" t="s">
        <v>491</v>
      </c>
    </row>
    <row r="311" spans="1:2" ht="14.25" customHeight="1" x14ac:dyDescent="0.2">
      <c r="A311" s="17">
        <v>628</v>
      </c>
      <c r="B311" s="57" t="s">
        <v>292</v>
      </c>
    </row>
    <row r="312" spans="1:2" ht="14.25" customHeight="1" x14ac:dyDescent="0.2">
      <c r="A312" s="17">
        <v>629</v>
      </c>
      <c r="B312" s="57" t="s">
        <v>733</v>
      </c>
    </row>
    <row r="313" spans="1:2" ht="14.25" customHeight="1" x14ac:dyDescent="0.2">
      <c r="A313" s="17">
        <v>630</v>
      </c>
      <c r="B313" s="57" t="s">
        <v>95</v>
      </c>
    </row>
    <row r="314" spans="1:2" ht="14.25" customHeight="1" x14ac:dyDescent="0.2">
      <c r="A314" s="17">
        <v>631</v>
      </c>
      <c r="B314" s="57" t="s">
        <v>587</v>
      </c>
    </row>
    <row r="315" spans="1:2" ht="14.25" customHeight="1" x14ac:dyDescent="0.2">
      <c r="A315" s="17">
        <v>632</v>
      </c>
      <c r="B315" s="57" t="s">
        <v>396</v>
      </c>
    </row>
    <row r="316" spans="1:2" ht="14.25" customHeight="1" x14ac:dyDescent="0.2">
      <c r="A316" s="17">
        <v>635</v>
      </c>
      <c r="B316" s="57" t="s">
        <v>905</v>
      </c>
    </row>
    <row r="317" spans="1:2" ht="14.25" customHeight="1" x14ac:dyDescent="0.2">
      <c r="A317" s="17">
        <v>636</v>
      </c>
      <c r="B317" s="57" t="s">
        <v>426</v>
      </c>
    </row>
    <row r="318" spans="1:2" ht="14.25" customHeight="1" x14ac:dyDescent="0.2">
      <c r="A318" s="17">
        <v>637</v>
      </c>
      <c r="B318" s="57" t="s">
        <v>395</v>
      </c>
    </row>
    <row r="319" spans="1:2" ht="14.25" customHeight="1" x14ac:dyDescent="0.2">
      <c r="A319" s="17">
        <v>638</v>
      </c>
      <c r="B319" s="57" t="s">
        <v>822</v>
      </c>
    </row>
    <row r="320" spans="1:2" ht="14.25" customHeight="1" x14ac:dyDescent="0.2">
      <c r="A320" s="17">
        <v>639</v>
      </c>
      <c r="B320" s="57" t="s">
        <v>24</v>
      </c>
    </row>
    <row r="321" spans="1:2" ht="14.25" customHeight="1" x14ac:dyDescent="0.2">
      <c r="A321" s="17">
        <v>640</v>
      </c>
      <c r="B321" s="57" t="s">
        <v>188</v>
      </c>
    </row>
    <row r="322" spans="1:2" ht="14.25" customHeight="1" x14ac:dyDescent="0.2">
      <c r="A322" s="17">
        <v>641</v>
      </c>
      <c r="B322" s="57" t="s">
        <v>256</v>
      </c>
    </row>
    <row r="323" spans="1:2" ht="14.25" customHeight="1" x14ac:dyDescent="0.2">
      <c r="A323" s="17">
        <v>642</v>
      </c>
      <c r="B323" s="57" t="s">
        <v>363</v>
      </c>
    </row>
    <row r="324" spans="1:2" ht="14.25" customHeight="1" x14ac:dyDescent="0.2">
      <c r="A324" s="17">
        <v>643</v>
      </c>
      <c r="B324" s="57" t="s">
        <v>988</v>
      </c>
    </row>
    <row r="325" spans="1:2" ht="14.25" customHeight="1" x14ac:dyDescent="0.2">
      <c r="A325" s="17">
        <v>644</v>
      </c>
      <c r="B325" s="57" t="s">
        <v>529</v>
      </c>
    </row>
    <row r="326" spans="1:2" ht="14.25" customHeight="1" x14ac:dyDescent="0.2">
      <c r="A326" s="17">
        <v>645</v>
      </c>
      <c r="B326" s="57" t="s">
        <v>226</v>
      </c>
    </row>
    <row r="327" spans="1:2" ht="14.25" customHeight="1" x14ac:dyDescent="0.2">
      <c r="A327" s="17">
        <v>646</v>
      </c>
      <c r="B327" s="57" t="s">
        <v>177</v>
      </c>
    </row>
    <row r="328" spans="1:2" ht="14.25" customHeight="1" x14ac:dyDescent="0.2">
      <c r="A328" s="17">
        <v>647</v>
      </c>
      <c r="B328" s="57" t="s">
        <v>337</v>
      </c>
    </row>
    <row r="329" spans="1:2" ht="14.25" customHeight="1" x14ac:dyDescent="0.2">
      <c r="A329" s="17">
        <v>648</v>
      </c>
      <c r="B329" s="57" t="s">
        <v>57</v>
      </c>
    </row>
    <row r="330" spans="1:2" ht="14.25" customHeight="1" x14ac:dyDescent="0.2">
      <c r="A330" s="17">
        <v>649</v>
      </c>
      <c r="B330" s="57" t="s">
        <v>719</v>
      </c>
    </row>
    <row r="331" spans="1:2" ht="14.25" customHeight="1" x14ac:dyDescent="0.2">
      <c r="A331" s="17">
        <v>650</v>
      </c>
      <c r="B331" s="57" t="s">
        <v>680</v>
      </c>
    </row>
    <row r="332" spans="1:2" ht="14.25" customHeight="1" x14ac:dyDescent="0.2">
      <c r="A332" s="17">
        <v>651</v>
      </c>
      <c r="B332" s="57" t="s">
        <v>870</v>
      </c>
    </row>
    <row r="333" spans="1:2" ht="14.25" customHeight="1" x14ac:dyDescent="0.2">
      <c r="A333" s="17">
        <v>652</v>
      </c>
      <c r="B333" s="57" t="s">
        <v>656</v>
      </c>
    </row>
    <row r="334" spans="1:2" ht="14.25" customHeight="1" x14ac:dyDescent="0.2">
      <c r="A334" s="17">
        <v>653</v>
      </c>
      <c r="B334" s="57" t="s">
        <v>212</v>
      </c>
    </row>
    <row r="335" spans="1:2" ht="14.25" customHeight="1" x14ac:dyDescent="0.2">
      <c r="A335" s="17">
        <v>654</v>
      </c>
      <c r="B335" s="57" t="s">
        <v>47</v>
      </c>
    </row>
    <row r="336" spans="1:2" ht="14.25" customHeight="1" x14ac:dyDescent="0.2">
      <c r="A336" s="17">
        <v>655</v>
      </c>
      <c r="B336" s="57" t="s">
        <v>523</v>
      </c>
    </row>
    <row r="337" spans="1:2" ht="14.25" customHeight="1" x14ac:dyDescent="0.2">
      <c r="A337" s="17">
        <v>656</v>
      </c>
      <c r="B337" s="57" t="s">
        <v>281</v>
      </c>
    </row>
    <row r="338" spans="1:2" ht="14.25" customHeight="1" x14ac:dyDescent="0.2">
      <c r="A338" s="17">
        <v>657</v>
      </c>
      <c r="B338" s="57" t="s">
        <v>282</v>
      </c>
    </row>
    <row r="339" spans="1:2" ht="14.25" customHeight="1" x14ac:dyDescent="0.2">
      <c r="A339" s="17">
        <v>658</v>
      </c>
      <c r="B339" s="57" t="s">
        <v>986</v>
      </c>
    </row>
    <row r="340" spans="1:2" ht="14.25" customHeight="1" x14ac:dyDescent="0.2">
      <c r="A340" s="17">
        <v>659</v>
      </c>
      <c r="B340" s="57" t="s">
        <v>332</v>
      </c>
    </row>
    <row r="341" spans="1:2" ht="14.25" customHeight="1" x14ac:dyDescent="0.2">
      <c r="A341" s="17">
        <v>660</v>
      </c>
      <c r="B341" s="57" t="s">
        <v>941</v>
      </c>
    </row>
    <row r="342" spans="1:2" ht="14.25" customHeight="1" x14ac:dyDescent="0.2">
      <c r="A342" s="17">
        <v>661</v>
      </c>
      <c r="B342" s="57" t="s">
        <v>1006</v>
      </c>
    </row>
    <row r="343" spans="1:2" ht="14.25" customHeight="1" x14ac:dyDescent="0.2">
      <c r="A343" s="17">
        <v>662</v>
      </c>
      <c r="B343" s="57" t="s">
        <v>677</v>
      </c>
    </row>
    <row r="344" spans="1:2" ht="14.25" customHeight="1" x14ac:dyDescent="0.2">
      <c r="A344" s="17">
        <v>663</v>
      </c>
      <c r="B344" s="57" t="s">
        <v>742</v>
      </c>
    </row>
    <row r="345" spans="1:2" ht="14.25" customHeight="1" x14ac:dyDescent="0.2">
      <c r="A345" s="17">
        <v>664</v>
      </c>
      <c r="B345" s="57" t="s">
        <v>485</v>
      </c>
    </row>
    <row r="346" spans="1:2" ht="14.25" customHeight="1" x14ac:dyDescent="0.2">
      <c r="A346" s="17">
        <v>665</v>
      </c>
      <c r="B346" s="57" t="s">
        <v>943</v>
      </c>
    </row>
    <row r="347" spans="1:2" ht="14.25" customHeight="1" x14ac:dyDescent="0.2">
      <c r="A347" s="17">
        <v>666</v>
      </c>
      <c r="B347" s="57" t="s">
        <v>514</v>
      </c>
    </row>
    <row r="348" spans="1:2" ht="14.25" customHeight="1" x14ac:dyDescent="0.2">
      <c r="A348" s="17">
        <v>667</v>
      </c>
      <c r="B348" s="57" t="s">
        <v>366</v>
      </c>
    </row>
    <row r="349" spans="1:2" ht="14.25" customHeight="1" x14ac:dyDescent="0.2">
      <c r="A349" s="17">
        <v>668</v>
      </c>
      <c r="B349" s="57" t="s">
        <v>865</v>
      </c>
    </row>
    <row r="350" spans="1:2" ht="14.25" customHeight="1" x14ac:dyDescent="0.2">
      <c r="A350" s="17">
        <v>669</v>
      </c>
      <c r="B350" s="57" t="s">
        <v>952</v>
      </c>
    </row>
    <row r="351" spans="1:2" ht="14.25" customHeight="1" x14ac:dyDescent="0.2">
      <c r="A351" s="17">
        <v>670</v>
      </c>
      <c r="B351" s="57" t="s">
        <v>471</v>
      </c>
    </row>
    <row r="352" spans="1:2" ht="14.25" customHeight="1" x14ac:dyDescent="0.2">
      <c r="A352" s="17">
        <v>671</v>
      </c>
      <c r="B352" s="57" t="s">
        <v>823</v>
      </c>
    </row>
    <row r="353" spans="1:2" ht="14.25" customHeight="1" x14ac:dyDescent="0.2">
      <c r="A353" s="17">
        <v>672</v>
      </c>
      <c r="B353" s="57" t="s">
        <v>75</v>
      </c>
    </row>
    <row r="354" spans="1:2" ht="14.25" customHeight="1" x14ac:dyDescent="0.2">
      <c r="A354" s="17">
        <v>673</v>
      </c>
      <c r="B354" s="57" t="s">
        <v>496</v>
      </c>
    </row>
    <row r="355" spans="1:2" ht="14.25" customHeight="1" x14ac:dyDescent="0.2">
      <c r="A355" s="17">
        <v>674</v>
      </c>
      <c r="B355" s="57" t="s">
        <v>179</v>
      </c>
    </row>
    <row r="356" spans="1:2" ht="14.25" customHeight="1" x14ac:dyDescent="0.2">
      <c r="A356" s="17">
        <v>675</v>
      </c>
      <c r="B356" s="57" t="s">
        <v>861</v>
      </c>
    </row>
    <row r="357" spans="1:2" ht="14.25" customHeight="1" x14ac:dyDescent="0.2">
      <c r="A357" s="17">
        <v>676</v>
      </c>
      <c r="B357" s="57" t="s">
        <v>456</v>
      </c>
    </row>
    <row r="358" spans="1:2" ht="14.25" customHeight="1" x14ac:dyDescent="0.2">
      <c r="A358" s="17">
        <v>677</v>
      </c>
      <c r="B358" s="57" t="s">
        <v>837</v>
      </c>
    </row>
    <row r="359" spans="1:2" ht="14.25" customHeight="1" x14ac:dyDescent="0.2">
      <c r="A359" s="17">
        <v>678</v>
      </c>
      <c r="B359" s="57" t="s">
        <v>591</v>
      </c>
    </row>
    <row r="360" spans="1:2" ht="14.25" customHeight="1" x14ac:dyDescent="0.2">
      <c r="A360" s="17">
        <v>679</v>
      </c>
      <c r="B360" s="57" t="s">
        <v>98</v>
      </c>
    </row>
    <row r="361" spans="1:2" ht="14.25" customHeight="1" x14ac:dyDescent="0.2">
      <c r="A361" s="17">
        <v>680</v>
      </c>
      <c r="B361" s="57" t="s">
        <v>547</v>
      </c>
    </row>
    <row r="362" spans="1:2" ht="14.25" customHeight="1" x14ac:dyDescent="0.2">
      <c r="A362" s="17">
        <v>681</v>
      </c>
      <c r="B362" s="57" t="s">
        <v>565</v>
      </c>
    </row>
    <row r="363" spans="1:2" ht="14.25" customHeight="1" x14ac:dyDescent="0.2">
      <c r="A363" s="17">
        <v>682</v>
      </c>
      <c r="B363" s="57" t="s">
        <v>891</v>
      </c>
    </row>
    <row r="364" spans="1:2" ht="14.25" customHeight="1" x14ac:dyDescent="0.2">
      <c r="A364" s="17">
        <v>683</v>
      </c>
      <c r="B364" s="57" t="s">
        <v>626</v>
      </c>
    </row>
    <row r="365" spans="1:2" ht="14.25" customHeight="1" x14ac:dyDescent="0.2">
      <c r="A365" s="17">
        <v>684</v>
      </c>
      <c r="B365" s="57" t="s">
        <v>647</v>
      </c>
    </row>
    <row r="366" spans="1:2" ht="14.25" customHeight="1" x14ac:dyDescent="0.2">
      <c r="A366" s="17">
        <v>685</v>
      </c>
      <c r="B366" s="57" t="s">
        <v>1026</v>
      </c>
    </row>
    <row r="367" spans="1:2" ht="14.25" customHeight="1" x14ac:dyDescent="0.2">
      <c r="A367" s="17">
        <v>686</v>
      </c>
      <c r="B367" s="57" t="s">
        <v>856</v>
      </c>
    </row>
    <row r="368" spans="1:2" ht="14.25" customHeight="1" x14ac:dyDescent="0.2">
      <c r="A368" s="17">
        <v>687</v>
      </c>
      <c r="B368" s="57" t="s">
        <v>368</v>
      </c>
    </row>
    <row r="369" spans="1:2" ht="14.25" customHeight="1" x14ac:dyDescent="0.2">
      <c r="A369" s="17">
        <v>688</v>
      </c>
      <c r="B369" s="57" t="s">
        <v>540</v>
      </c>
    </row>
    <row r="370" spans="1:2" ht="14.25" customHeight="1" x14ac:dyDescent="0.2">
      <c r="A370" s="17">
        <v>689</v>
      </c>
      <c r="B370" s="57" t="s">
        <v>968</v>
      </c>
    </row>
    <row r="371" spans="1:2" ht="14.25" customHeight="1" x14ac:dyDescent="0.2">
      <c r="A371" s="17">
        <v>690</v>
      </c>
      <c r="B371" s="57" t="s">
        <v>652</v>
      </c>
    </row>
    <row r="372" spans="1:2" ht="14.25" customHeight="1" x14ac:dyDescent="0.2">
      <c r="A372" s="17">
        <v>691</v>
      </c>
      <c r="B372" s="57" t="s">
        <v>765</v>
      </c>
    </row>
    <row r="373" spans="1:2" ht="14.25" customHeight="1" x14ac:dyDescent="0.2">
      <c r="A373" s="17">
        <v>692</v>
      </c>
      <c r="B373" s="57" t="s">
        <v>93</v>
      </c>
    </row>
    <row r="374" spans="1:2" ht="14.25" customHeight="1" x14ac:dyDescent="0.2">
      <c r="A374" s="17">
        <v>692</v>
      </c>
      <c r="B374" s="57" t="s">
        <v>93</v>
      </c>
    </row>
    <row r="375" spans="1:2" ht="14.25" customHeight="1" x14ac:dyDescent="0.2">
      <c r="A375" s="17">
        <v>693</v>
      </c>
      <c r="B375" s="57" t="s">
        <v>264</v>
      </c>
    </row>
    <row r="376" spans="1:2" ht="14.25" customHeight="1" x14ac:dyDescent="0.2">
      <c r="A376" s="17">
        <v>694</v>
      </c>
      <c r="B376" s="57" t="s">
        <v>623</v>
      </c>
    </row>
    <row r="377" spans="1:2" ht="14.25" customHeight="1" x14ac:dyDescent="0.2">
      <c r="A377" s="17">
        <v>695</v>
      </c>
      <c r="B377" s="57" t="s">
        <v>255</v>
      </c>
    </row>
    <row r="378" spans="1:2" ht="14.25" customHeight="1" x14ac:dyDescent="0.2">
      <c r="A378" s="17">
        <v>696</v>
      </c>
      <c r="B378" s="57" t="s">
        <v>989</v>
      </c>
    </row>
    <row r="379" spans="1:2" ht="14.25" customHeight="1" x14ac:dyDescent="0.2">
      <c r="A379" s="17">
        <v>697</v>
      </c>
      <c r="B379" s="57" t="s">
        <v>434</v>
      </c>
    </row>
    <row r="380" spans="1:2" ht="14.25" customHeight="1" x14ac:dyDescent="0.2">
      <c r="A380" s="17">
        <v>698</v>
      </c>
      <c r="B380" s="57" t="s">
        <v>979</v>
      </c>
    </row>
    <row r="381" spans="1:2" ht="14.25" customHeight="1" x14ac:dyDescent="0.2">
      <c r="A381" s="17">
        <v>699</v>
      </c>
      <c r="B381" s="57" t="s">
        <v>632</v>
      </c>
    </row>
    <row r="382" spans="1:2" ht="14.25" customHeight="1" x14ac:dyDescent="0.2">
      <c r="A382" s="17">
        <v>700</v>
      </c>
      <c r="B382" s="57" t="s">
        <v>351</v>
      </c>
    </row>
    <row r="383" spans="1:2" ht="14.25" customHeight="1" x14ac:dyDescent="0.2">
      <c r="A383" s="17">
        <v>701</v>
      </c>
      <c r="B383" s="57" t="s">
        <v>871</v>
      </c>
    </row>
    <row r="384" spans="1:2" ht="14.25" customHeight="1" x14ac:dyDescent="0.2">
      <c r="A384" s="17">
        <v>702</v>
      </c>
      <c r="B384" s="57" t="s">
        <v>400</v>
      </c>
    </row>
    <row r="385" spans="1:2" ht="14.25" customHeight="1" x14ac:dyDescent="0.2">
      <c r="A385" s="17">
        <v>703</v>
      </c>
      <c r="B385" s="57" t="s">
        <v>662</v>
      </c>
    </row>
    <row r="386" spans="1:2" ht="14.25" customHeight="1" x14ac:dyDescent="0.2">
      <c r="A386" s="17">
        <v>704</v>
      </c>
      <c r="B386" s="57" t="s">
        <v>403</v>
      </c>
    </row>
    <row r="387" spans="1:2" ht="14.25" customHeight="1" x14ac:dyDescent="0.2">
      <c r="A387" s="17">
        <v>705</v>
      </c>
      <c r="B387" s="57" t="s">
        <v>199</v>
      </c>
    </row>
    <row r="388" spans="1:2" ht="14.25" customHeight="1" x14ac:dyDescent="0.2">
      <c r="A388" s="17">
        <v>706</v>
      </c>
      <c r="B388" s="57" t="s">
        <v>577</v>
      </c>
    </row>
    <row r="389" spans="1:2" ht="14.25" customHeight="1" x14ac:dyDescent="0.2">
      <c r="A389" s="17">
        <v>707</v>
      </c>
      <c r="B389" s="57" t="s">
        <v>1030</v>
      </c>
    </row>
    <row r="390" spans="1:2" ht="14.25" customHeight="1" x14ac:dyDescent="0.2">
      <c r="A390" s="17">
        <v>708</v>
      </c>
      <c r="B390" s="57" t="s">
        <v>864</v>
      </c>
    </row>
    <row r="391" spans="1:2" ht="14.25" customHeight="1" x14ac:dyDescent="0.2">
      <c r="A391" s="17">
        <v>709</v>
      </c>
      <c r="B391" s="57" t="s">
        <v>648</v>
      </c>
    </row>
    <row r="392" spans="1:2" ht="14.25" customHeight="1" x14ac:dyDescent="0.2">
      <c r="A392" s="17">
        <v>710</v>
      </c>
      <c r="B392" s="57" t="s">
        <v>73</v>
      </c>
    </row>
    <row r="393" spans="1:2" ht="14.25" customHeight="1" x14ac:dyDescent="0.2">
      <c r="A393" s="17">
        <v>711</v>
      </c>
      <c r="B393" s="57" t="s">
        <v>767</v>
      </c>
    </row>
    <row r="394" spans="1:2" ht="14.25" customHeight="1" x14ac:dyDescent="0.2">
      <c r="A394" s="17">
        <v>712</v>
      </c>
      <c r="B394" s="57" t="s">
        <v>609</v>
      </c>
    </row>
    <row r="395" spans="1:2" ht="14.25" customHeight="1" x14ac:dyDescent="0.2">
      <c r="A395" s="17">
        <v>713</v>
      </c>
      <c r="B395" s="57" t="s">
        <v>669</v>
      </c>
    </row>
    <row r="396" spans="1:2" ht="14.25" customHeight="1" x14ac:dyDescent="0.2">
      <c r="A396" s="17">
        <v>714</v>
      </c>
      <c r="B396" s="57" t="s">
        <v>499</v>
      </c>
    </row>
    <row r="397" spans="1:2" ht="14.25" customHeight="1" x14ac:dyDescent="0.2">
      <c r="A397" s="17">
        <v>715</v>
      </c>
      <c r="B397" s="57" t="s">
        <v>365</v>
      </c>
    </row>
    <row r="398" spans="1:2" ht="14.25" customHeight="1" x14ac:dyDescent="0.2">
      <c r="A398" s="17">
        <v>716</v>
      </c>
      <c r="B398" s="57" t="s">
        <v>512</v>
      </c>
    </row>
    <row r="399" spans="1:2" ht="14.25" customHeight="1" x14ac:dyDescent="0.2">
      <c r="A399" s="17">
        <v>717</v>
      </c>
      <c r="B399" s="57" t="s">
        <v>106</v>
      </c>
    </row>
    <row r="400" spans="1:2" ht="14.25" customHeight="1" x14ac:dyDescent="0.2">
      <c r="A400" s="17">
        <v>718</v>
      </c>
      <c r="B400" s="57" t="s">
        <v>820</v>
      </c>
    </row>
    <row r="401" spans="1:2" ht="14.25" customHeight="1" x14ac:dyDescent="0.2">
      <c r="A401" s="17">
        <v>719</v>
      </c>
      <c r="B401" s="57" t="s">
        <v>113</v>
      </c>
    </row>
    <row r="402" spans="1:2" ht="14.25" customHeight="1" x14ac:dyDescent="0.2">
      <c r="A402" s="17">
        <v>720</v>
      </c>
      <c r="B402" s="57" t="s">
        <v>115</v>
      </c>
    </row>
    <row r="403" spans="1:2" ht="14.25" customHeight="1" x14ac:dyDescent="0.2">
      <c r="A403" s="17">
        <v>721</v>
      </c>
      <c r="B403" s="57" t="s">
        <v>1012</v>
      </c>
    </row>
    <row r="404" spans="1:2" ht="14.25" customHeight="1" x14ac:dyDescent="0.2">
      <c r="A404" s="17">
        <v>722</v>
      </c>
      <c r="B404" s="57" t="s">
        <v>88</v>
      </c>
    </row>
    <row r="405" spans="1:2" ht="14.25" customHeight="1" x14ac:dyDescent="0.2">
      <c r="A405" s="17">
        <v>723</v>
      </c>
      <c r="B405" s="57" t="s">
        <v>913</v>
      </c>
    </row>
    <row r="406" spans="1:2" ht="14.25" customHeight="1" x14ac:dyDescent="0.2">
      <c r="A406" s="17">
        <v>724</v>
      </c>
      <c r="B406" s="57" t="s">
        <v>505</v>
      </c>
    </row>
    <row r="407" spans="1:2" ht="14.25" customHeight="1" x14ac:dyDescent="0.2">
      <c r="A407" s="17">
        <v>725</v>
      </c>
      <c r="B407" s="57" t="s">
        <v>846</v>
      </c>
    </row>
    <row r="408" spans="1:2" ht="14.25" customHeight="1" x14ac:dyDescent="0.2">
      <c r="A408" s="17">
        <v>726</v>
      </c>
      <c r="B408" s="57" t="s">
        <v>550</v>
      </c>
    </row>
    <row r="409" spans="1:2" ht="14.25" customHeight="1" x14ac:dyDescent="0.2">
      <c r="A409" s="17">
        <v>727</v>
      </c>
      <c r="B409" s="57" t="s">
        <v>354</v>
      </c>
    </row>
    <row r="410" spans="1:2" ht="14.25" customHeight="1" x14ac:dyDescent="0.2">
      <c r="A410" s="19">
        <v>728</v>
      </c>
      <c r="B410" s="57" t="s">
        <v>1066</v>
      </c>
    </row>
    <row r="411" spans="1:2" ht="14.25" customHeight="1" x14ac:dyDescent="0.2">
      <c r="A411" s="17">
        <v>729</v>
      </c>
      <c r="B411" s="57" t="s">
        <v>275</v>
      </c>
    </row>
    <row r="412" spans="1:2" ht="14.25" customHeight="1" x14ac:dyDescent="0.2">
      <c r="A412" s="17">
        <v>730</v>
      </c>
      <c r="B412" s="57" t="s">
        <v>378</v>
      </c>
    </row>
    <row r="413" spans="1:2" ht="14.25" customHeight="1" x14ac:dyDescent="0.2">
      <c r="A413" s="17">
        <v>731</v>
      </c>
      <c r="B413" s="57" t="s">
        <v>71</v>
      </c>
    </row>
    <row r="414" spans="1:2" ht="14.25" customHeight="1" x14ac:dyDescent="0.2">
      <c r="A414" s="17">
        <v>732</v>
      </c>
      <c r="B414" s="57" t="s">
        <v>382</v>
      </c>
    </row>
    <row r="415" spans="1:2" ht="14.25" customHeight="1" x14ac:dyDescent="0.2">
      <c r="A415" s="17">
        <v>733</v>
      </c>
      <c r="B415" s="57" t="s">
        <v>953</v>
      </c>
    </row>
    <row r="416" spans="1:2" ht="14.25" customHeight="1" x14ac:dyDescent="0.2">
      <c r="A416" s="17">
        <v>734</v>
      </c>
      <c r="B416" s="57" t="s">
        <v>922</v>
      </c>
    </row>
    <row r="417" spans="1:2" ht="14.25" customHeight="1" x14ac:dyDescent="0.2">
      <c r="A417" s="17">
        <v>735</v>
      </c>
      <c r="B417" s="57" t="s">
        <v>531</v>
      </c>
    </row>
    <row r="418" spans="1:2" ht="14.25" customHeight="1" x14ac:dyDescent="0.2">
      <c r="A418" s="17">
        <v>736</v>
      </c>
      <c r="B418" s="57" t="s">
        <v>100</v>
      </c>
    </row>
    <row r="419" spans="1:2" ht="14.25" customHeight="1" x14ac:dyDescent="0.2">
      <c r="A419" s="17">
        <v>737</v>
      </c>
      <c r="B419" s="57" t="s">
        <v>271</v>
      </c>
    </row>
    <row r="420" spans="1:2" ht="14.25" customHeight="1" x14ac:dyDescent="0.2">
      <c r="A420" s="17">
        <v>738</v>
      </c>
      <c r="B420" s="57" t="s">
        <v>370</v>
      </c>
    </row>
    <row r="421" spans="1:2" ht="14.25" customHeight="1" x14ac:dyDescent="0.2">
      <c r="A421" s="17">
        <v>739</v>
      </c>
      <c r="B421" s="57" t="s">
        <v>76</v>
      </c>
    </row>
    <row r="422" spans="1:2" ht="14.25" customHeight="1" x14ac:dyDescent="0.2">
      <c r="A422" s="17">
        <v>740</v>
      </c>
      <c r="B422" s="57" t="s">
        <v>792</v>
      </c>
    </row>
    <row r="423" spans="1:2" ht="14.25" customHeight="1" x14ac:dyDescent="0.2">
      <c r="A423" s="17">
        <v>741</v>
      </c>
      <c r="B423" s="57" t="s">
        <v>928</v>
      </c>
    </row>
    <row r="424" spans="1:2" ht="14.25" customHeight="1" x14ac:dyDescent="0.2">
      <c r="A424" s="17">
        <v>742</v>
      </c>
      <c r="B424" s="57" t="s">
        <v>883</v>
      </c>
    </row>
    <row r="425" spans="1:2" ht="14.25" customHeight="1" x14ac:dyDescent="0.2">
      <c r="A425" s="17">
        <v>743</v>
      </c>
      <c r="B425" s="57" t="s">
        <v>797</v>
      </c>
    </row>
    <row r="426" spans="1:2" ht="14.25" customHeight="1" x14ac:dyDescent="0.2">
      <c r="A426" s="17">
        <v>744</v>
      </c>
      <c r="B426" s="57" t="s">
        <v>825</v>
      </c>
    </row>
    <row r="427" spans="1:2" ht="14.25" customHeight="1" x14ac:dyDescent="0.2">
      <c r="A427" s="17">
        <v>745</v>
      </c>
      <c r="B427" s="57" t="s">
        <v>1032</v>
      </c>
    </row>
    <row r="428" spans="1:2" ht="14.25" customHeight="1" x14ac:dyDescent="0.2">
      <c r="A428" s="17">
        <v>746</v>
      </c>
      <c r="B428" s="57" t="s">
        <v>273</v>
      </c>
    </row>
    <row r="429" spans="1:2" ht="14.25" customHeight="1" x14ac:dyDescent="0.2">
      <c r="A429" s="17">
        <v>747</v>
      </c>
      <c r="B429" s="57" t="s">
        <v>660</v>
      </c>
    </row>
    <row r="430" spans="1:2" ht="14.25" customHeight="1" x14ac:dyDescent="0.2">
      <c r="A430" s="17">
        <v>748</v>
      </c>
      <c r="B430" s="57" t="s">
        <v>580</v>
      </c>
    </row>
    <row r="431" spans="1:2" ht="14.25" customHeight="1" x14ac:dyDescent="0.2">
      <c r="A431" s="17">
        <v>749</v>
      </c>
      <c r="B431" s="57" t="s">
        <v>650</v>
      </c>
    </row>
    <row r="432" spans="1:2" ht="14.25" customHeight="1" x14ac:dyDescent="0.2">
      <c r="A432" s="17">
        <v>750</v>
      </c>
      <c r="B432" s="57" t="s">
        <v>794</v>
      </c>
    </row>
    <row r="433" spans="1:2" ht="14.25" customHeight="1" x14ac:dyDescent="0.2">
      <c r="A433" s="17">
        <v>751</v>
      </c>
      <c r="B433" s="57" t="s">
        <v>344</v>
      </c>
    </row>
    <row r="434" spans="1:2" ht="14.25" customHeight="1" x14ac:dyDescent="0.2">
      <c r="A434" s="17">
        <v>752</v>
      </c>
      <c r="B434" s="57" t="s">
        <v>326</v>
      </c>
    </row>
    <row r="435" spans="1:2" ht="14.25" customHeight="1" x14ac:dyDescent="0.2">
      <c r="A435" s="17">
        <v>753</v>
      </c>
      <c r="B435" s="57" t="s">
        <v>393</v>
      </c>
    </row>
    <row r="436" spans="1:2" ht="14.25" customHeight="1" x14ac:dyDescent="0.2">
      <c r="A436" s="17">
        <v>754</v>
      </c>
      <c r="B436" s="57" t="s">
        <v>552</v>
      </c>
    </row>
    <row r="437" spans="1:2" ht="14.25" customHeight="1" x14ac:dyDescent="0.2">
      <c r="A437" s="17">
        <v>755</v>
      </c>
      <c r="B437" s="57" t="s">
        <v>435</v>
      </c>
    </row>
    <row r="438" spans="1:2" ht="14.25" customHeight="1" x14ac:dyDescent="0.2">
      <c r="A438" s="17">
        <v>756</v>
      </c>
      <c r="B438" s="57" t="s">
        <v>17</v>
      </c>
    </row>
    <row r="439" spans="1:2" ht="14.25" customHeight="1" x14ac:dyDescent="0.2">
      <c r="A439" s="17">
        <v>757</v>
      </c>
      <c r="B439" s="57" t="s">
        <v>61</v>
      </c>
    </row>
    <row r="440" spans="1:2" ht="14.25" customHeight="1" x14ac:dyDescent="0.2">
      <c r="A440" s="17">
        <v>758</v>
      </c>
      <c r="B440" s="57" t="s">
        <v>394</v>
      </c>
    </row>
    <row r="441" spans="1:2" ht="14.25" customHeight="1" x14ac:dyDescent="0.2">
      <c r="A441" s="17">
        <v>759</v>
      </c>
      <c r="B441" s="57" t="s">
        <v>99</v>
      </c>
    </row>
    <row r="442" spans="1:2" ht="14.25" customHeight="1" x14ac:dyDescent="0.2">
      <c r="A442" s="17">
        <v>760</v>
      </c>
      <c r="B442" s="57" t="s">
        <v>333</v>
      </c>
    </row>
    <row r="443" spans="1:2" ht="14.25" customHeight="1" x14ac:dyDescent="0.2">
      <c r="A443" s="17">
        <v>761</v>
      </c>
      <c r="B443" s="57" t="s">
        <v>628</v>
      </c>
    </row>
    <row r="444" spans="1:2" ht="14.25" customHeight="1" x14ac:dyDescent="0.2">
      <c r="A444" s="17">
        <v>762</v>
      </c>
      <c r="B444" s="57" t="s">
        <v>125</v>
      </c>
    </row>
    <row r="445" spans="1:2" ht="14.25" customHeight="1" x14ac:dyDescent="0.2">
      <c r="A445" s="17">
        <v>763</v>
      </c>
      <c r="B445" s="57" t="s">
        <v>423</v>
      </c>
    </row>
    <row r="446" spans="1:2" ht="14.25" customHeight="1" x14ac:dyDescent="0.2">
      <c r="A446" s="17">
        <v>764</v>
      </c>
      <c r="B446" s="57" t="s">
        <v>927</v>
      </c>
    </row>
    <row r="447" spans="1:2" ht="14.25" customHeight="1" x14ac:dyDescent="0.2">
      <c r="A447" s="17">
        <v>765</v>
      </c>
      <c r="B447" s="57" t="s">
        <v>711</v>
      </c>
    </row>
    <row r="448" spans="1:2" ht="14.25" customHeight="1" x14ac:dyDescent="0.2">
      <c r="A448" s="17">
        <v>766</v>
      </c>
      <c r="B448" s="57" t="s">
        <v>630</v>
      </c>
    </row>
    <row r="449" spans="1:2" ht="14.25" customHeight="1" x14ac:dyDescent="0.2">
      <c r="A449" s="17">
        <v>767</v>
      </c>
      <c r="B449" s="57" t="s">
        <v>698</v>
      </c>
    </row>
    <row r="450" spans="1:2" ht="14.25" customHeight="1" x14ac:dyDescent="0.2">
      <c r="A450" s="17">
        <v>768</v>
      </c>
      <c r="B450" s="57" t="s">
        <v>631</v>
      </c>
    </row>
    <row r="451" spans="1:2" ht="14.25" customHeight="1" x14ac:dyDescent="0.2">
      <c r="A451" s="17">
        <v>769</v>
      </c>
      <c r="B451" s="57" t="s">
        <v>168</v>
      </c>
    </row>
    <row r="452" spans="1:2" ht="14.25" customHeight="1" x14ac:dyDescent="0.2">
      <c r="A452" s="17">
        <v>770</v>
      </c>
      <c r="B452" s="57" t="s">
        <v>606</v>
      </c>
    </row>
    <row r="453" spans="1:2" ht="14.25" customHeight="1" x14ac:dyDescent="0.2">
      <c r="A453" s="17">
        <v>771</v>
      </c>
      <c r="B453" s="57" t="s">
        <v>749</v>
      </c>
    </row>
    <row r="454" spans="1:2" ht="14.25" customHeight="1" x14ac:dyDescent="0.2">
      <c r="A454" s="17">
        <v>772</v>
      </c>
      <c r="B454" s="57" t="s">
        <v>590</v>
      </c>
    </row>
    <row r="455" spans="1:2" ht="14.25" customHeight="1" x14ac:dyDescent="0.2">
      <c r="A455" s="17">
        <v>773</v>
      </c>
      <c r="B455" s="57" t="s">
        <v>129</v>
      </c>
    </row>
    <row r="456" spans="1:2" ht="14.25" customHeight="1" x14ac:dyDescent="0.2">
      <c r="A456" s="17">
        <v>774</v>
      </c>
      <c r="B456" s="57" t="s">
        <v>424</v>
      </c>
    </row>
    <row r="457" spans="1:2" ht="14.25" customHeight="1" x14ac:dyDescent="0.2">
      <c r="A457" s="17">
        <v>775</v>
      </c>
      <c r="B457" s="57" t="s">
        <v>150</v>
      </c>
    </row>
    <row r="458" spans="1:2" ht="14.25" customHeight="1" x14ac:dyDescent="0.2">
      <c r="A458" s="17">
        <v>776</v>
      </c>
      <c r="B458" s="57" t="s">
        <v>209</v>
      </c>
    </row>
    <row r="459" spans="1:2" ht="14.25" customHeight="1" x14ac:dyDescent="0.2">
      <c r="A459" s="17">
        <v>777</v>
      </c>
      <c r="B459" s="57" t="s">
        <v>404</v>
      </c>
    </row>
    <row r="460" spans="1:2" ht="14.25" customHeight="1" x14ac:dyDescent="0.2">
      <c r="A460" s="17">
        <v>778</v>
      </c>
      <c r="B460" s="57" t="s">
        <v>1014</v>
      </c>
    </row>
    <row r="461" spans="1:2" ht="14.25" customHeight="1" x14ac:dyDescent="0.2">
      <c r="A461" s="17">
        <v>779</v>
      </c>
      <c r="B461" s="57" t="s">
        <v>126</v>
      </c>
    </row>
    <row r="462" spans="1:2" ht="14.25" customHeight="1" x14ac:dyDescent="0.2">
      <c r="A462" s="17">
        <v>780</v>
      </c>
      <c r="B462" s="57" t="s">
        <v>1015</v>
      </c>
    </row>
    <row r="463" spans="1:2" ht="14.25" customHeight="1" x14ac:dyDescent="0.2">
      <c r="A463" s="17">
        <v>781</v>
      </c>
      <c r="B463" s="57" t="s">
        <v>947</v>
      </c>
    </row>
    <row r="464" spans="1:2" ht="14.25" customHeight="1" x14ac:dyDescent="0.2">
      <c r="A464" s="17">
        <v>782</v>
      </c>
      <c r="B464" s="57" t="s">
        <v>940</v>
      </c>
    </row>
    <row r="465" spans="1:2" ht="14.25" customHeight="1" x14ac:dyDescent="0.2">
      <c r="A465" s="17">
        <v>783</v>
      </c>
      <c r="B465" s="57" t="s">
        <v>356</v>
      </c>
    </row>
    <row r="466" spans="1:2" ht="14.25" customHeight="1" x14ac:dyDescent="0.2">
      <c r="A466" s="17">
        <v>784</v>
      </c>
      <c r="B466" s="57" t="s">
        <v>181</v>
      </c>
    </row>
    <row r="467" spans="1:2" ht="14.25" customHeight="1" x14ac:dyDescent="0.2">
      <c r="A467" s="17">
        <v>785</v>
      </c>
      <c r="B467" s="57" t="s">
        <v>304</v>
      </c>
    </row>
    <row r="468" spans="1:2" ht="14.25" customHeight="1" x14ac:dyDescent="0.2">
      <c r="A468" s="17">
        <v>786</v>
      </c>
      <c r="B468" s="57" t="s">
        <v>135</v>
      </c>
    </row>
    <row r="469" spans="1:2" ht="14.25" customHeight="1" x14ac:dyDescent="0.2">
      <c r="A469" s="17">
        <v>787</v>
      </c>
      <c r="B469" s="57" t="s">
        <v>996</v>
      </c>
    </row>
    <row r="470" spans="1:2" ht="14.25" customHeight="1" x14ac:dyDescent="0.2">
      <c r="A470" s="17">
        <v>788</v>
      </c>
      <c r="B470" s="57" t="s">
        <v>995</v>
      </c>
    </row>
    <row r="471" spans="1:2" ht="14.25" customHeight="1" x14ac:dyDescent="0.2">
      <c r="A471" s="17">
        <v>789</v>
      </c>
      <c r="B471" s="57" t="s">
        <v>899</v>
      </c>
    </row>
    <row r="472" spans="1:2" ht="14.25" customHeight="1" x14ac:dyDescent="0.2">
      <c r="A472" s="17">
        <v>790</v>
      </c>
      <c r="B472" s="57" t="s">
        <v>888</v>
      </c>
    </row>
    <row r="473" spans="1:2" ht="14.25" customHeight="1" x14ac:dyDescent="0.2">
      <c r="A473" s="17">
        <v>791</v>
      </c>
      <c r="B473" s="57" t="s">
        <v>310</v>
      </c>
    </row>
    <row r="474" spans="1:2" ht="14.25" customHeight="1" x14ac:dyDescent="0.2">
      <c r="A474" s="17">
        <v>792</v>
      </c>
      <c r="B474" s="57" t="s">
        <v>142</v>
      </c>
    </row>
    <row r="475" spans="1:2" ht="14.25" customHeight="1" x14ac:dyDescent="0.2">
      <c r="A475" s="17">
        <v>793</v>
      </c>
      <c r="B475" s="57" t="s">
        <v>746</v>
      </c>
    </row>
    <row r="476" spans="1:2" ht="14.25" customHeight="1" x14ac:dyDescent="0.2">
      <c r="A476" s="17">
        <v>794</v>
      </c>
      <c r="B476" s="57" t="s">
        <v>525</v>
      </c>
    </row>
    <row r="477" spans="1:2" ht="14.25" customHeight="1" x14ac:dyDescent="0.2">
      <c r="A477" s="17">
        <v>795</v>
      </c>
      <c r="B477" s="57" t="s">
        <v>289</v>
      </c>
    </row>
    <row r="478" spans="1:2" ht="14.25" customHeight="1" x14ac:dyDescent="0.2">
      <c r="A478" s="17">
        <v>796</v>
      </c>
      <c r="B478" s="57" t="s">
        <v>274</v>
      </c>
    </row>
    <row r="479" spans="1:2" ht="14.25" customHeight="1" x14ac:dyDescent="0.2">
      <c r="A479" s="17">
        <v>797</v>
      </c>
      <c r="B479" s="57" t="s">
        <v>349</v>
      </c>
    </row>
    <row r="480" spans="1:2" ht="14.25" customHeight="1" x14ac:dyDescent="0.2">
      <c r="A480" s="17">
        <v>798</v>
      </c>
      <c r="B480" s="57" t="s">
        <v>474</v>
      </c>
    </row>
    <row r="481" spans="1:2" ht="14.25" customHeight="1" x14ac:dyDescent="0.2">
      <c r="A481" s="17">
        <v>799</v>
      </c>
      <c r="B481" s="57" t="s">
        <v>158</v>
      </c>
    </row>
    <row r="482" spans="1:2" ht="14.25" customHeight="1" x14ac:dyDescent="0.2">
      <c r="A482" s="17">
        <v>800</v>
      </c>
      <c r="B482" s="57" t="s">
        <v>265</v>
      </c>
    </row>
    <row r="483" spans="1:2" ht="14.25" customHeight="1" x14ac:dyDescent="0.2">
      <c r="A483" s="17">
        <v>801</v>
      </c>
      <c r="B483" s="57" t="s">
        <v>18</v>
      </c>
    </row>
    <row r="484" spans="1:2" ht="14.25" customHeight="1" x14ac:dyDescent="0.2">
      <c r="A484" s="17">
        <v>802</v>
      </c>
      <c r="B484" s="57" t="s">
        <v>845</v>
      </c>
    </row>
    <row r="485" spans="1:2" ht="14.25" customHeight="1" x14ac:dyDescent="0.2">
      <c r="A485" s="17">
        <v>803</v>
      </c>
      <c r="B485" s="57" t="s">
        <v>467</v>
      </c>
    </row>
    <row r="486" spans="1:2" ht="14.25" customHeight="1" x14ac:dyDescent="0.2">
      <c r="A486" s="17">
        <v>804</v>
      </c>
      <c r="B486" s="57" t="s">
        <v>22</v>
      </c>
    </row>
    <row r="487" spans="1:2" ht="14.25" customHeight="1" x14ac:dyDescent="0.2">
      <c r="A487" s="17">
        <v>805</v>
      </c>
      <c r="B487" s="57" t="s">
        <v>443</v>
      </c>
    </row>
    <row r="488" spans="1:2" ht="14.25" customHeight="1" x14ac:dyDescent="0.2">
      <c r="A488" s="17">
        <v>806</v>
      </c>
      <c r="B488" s="57" t="s">
        <v>533</v>
      </c>
    </row>
    <row r="489" spans="1:2" ht="14.25" customHeight="1" x14ac:dyDescent="0.2">
      <c r="A489" s="17">
        <v>807</v>
      </c>
      <c r="B489" s="57" t="s">
        <v>882</v>
      </c>
    </row>
    <row r="490" spans="1:2" ht="14.25" customHeight="1" x14ac:dyDescent="0.2">
      <c r="A490" s="17">
        <v>808</v>
      </c>
      <c r="B490" s="57" t="s">
        <v>849</v>
      </c>
    </row>
    <row r="491" spans="1:2" ht="14.25" customHeight="1" x14ac:dyDescent="0.2">
      <c r="A491" s="17">
        <v>809</v>
      </c>
      <c r="B491" s="57" t="s">
        <v>245</v>
      </c>
    </row>
    <row r="492" spans="1:2" ht="14.25" customHeight="1" x14ac:dyDescent="0.2">
      <c r="A492" s="17">
        <v>810</v>
      </c>
      <c r="B492" s="57" t="s">
        <v>452</v>
      </c>
    </row>
    <row r="493" spans="1:2" ht="14.25" customHeight="1" x14ac:dyDescent="0.2">
      <c r="A493" s="17">
        <v>811</v>
      </c>
      <c r="B493" s="57" t="s">
        <v>978</v>
      </c>
    </row>
    <row r="494" spans="1:2" ht="14.25" customHeight="1" x14ac:dyDescent="0.2">
      <c r="A494" s="17">
        <v>812</v>
      </c>
      <c r="B494" s="57" t="s">
        <v>482</v>
      </c>
    </row>
    <row r="495" spans="1:2" ht="14.25" customHeight="1" x14ac:dyDescent="0.2">
      <c r="A495" s="17">
        <v>813</v>
      </c>
      <c r="B495" s="57" t="s">
        <v>60</v>
      </c>
    </row>
    <row r="496" spans="1:2" ht="14.25" customHeight="1" x14ac:dyDescent="0.2">
      <c r="A496" s="17">
        <v>814</v>
      </c>
      <c r="B496" s="57" t="s">
        <v>754</v>
      </c>
    </row>
    <row r="497" spans="1:2" ht="14.25" customHeight="1" x14ac:dyDescent="0.2">
      <c r="A497" s="17">
        <v>815</v>
      </c>
      <c r="B497" s="57" t="s">
        <v>355</v>
      </c>
    </row>
    <row r="498" spans="1:2" ht="14.25" customHeight="1" x14ac:dyDescent="0.2">
      <c r="A498" s="17">
        <v>816</v>
      </c>
      <c r="B498" s="57" t="s">
        <v>521</v>
      </c>
    </row>
    <row r="499" spans="1:2" ht="14.25" customHeight="1" x14ac:dyDescent="0.2">
      <c r="A499" s="17">
        <v>817</v>
      </c>
      <c r="B499" s="57" t="s">
        <v>377</v>
      </c>
    </row>
    <row r="500" spans="1:2" ht="14.25" customHeight="1" x14ac:dyDescent="0.2">
      <c r="A500" s="17">
        <v>818</v>
      </c>
      <c r="B500" s="57" t="s">
        <v>77</v>
      </c>
    </row>
    <row r="501" spans="1:2" ht="14.25" customHeight="1" x14ac:dyDescent="0.2">
      <c r="A501" s="17">
        <v>819</v>
      </c>
      <c r="B501" s="57" t="s">
        <v>932</v>
      </c>
    </row>
    <row r="502" spans="1:2" ht="14.25" customHeight="1" x14ac:dyDescent="0.2">
      <c r="A502" s="17">
        <v>820</v>
      </c>
      <c r="B502" s="57" t="s">
        <v>501</v>
      </c>
    </row>
    <row r="503" spans="1:2" ht="14.25" customHeight="1" x14ac:dyDescent="0.2">
      <c r="A503" s="17">
        <v>821</v>
      </c>
      <c r="B503" s="57" t="s">
        <v>981</v>
      </c>
    </row>
    <row r="504" spans="1:2" ht="14.25" customHeight="1" x14ac:dyDescent="0.2">
      <c r="A504" s="17">
        <v>822</v>
      </c>
      <c r="B504" s="57" t="s">
        <v>37</v>
      </c>
    </row>
    <row r="505" spans="1:2" ht="14.25" customHeight="1" x14ac:dyDescent="0.2">
      <c r="A505" s="17">
        <v>823</v>
      </c>
      <c r="B505" s="57" t="s">
        <v>571</v>
      </c>
    </row>
    <row r="506" spans="1:2" ht="14.25" customHeight="1" x14ac:dyDescent="0.2">
      <c r="A506" s="17">
        <v>824</v>
      </c>
      <c r="B506" s="57" t="s">
        <v>504</v>
      </c>
    </row>
    <row r="507" spans="1:2" ht="14.25" customHeight="1" x14ac:dyDescent="0.2">
      <c r="A507" s="17">
        <v>825</v>
      </c>
      <c r="B507" s="57" t="s">
        <v>1007</v>
      </c>
    </row>
    <row r="508" spans="1:2" ht="14.25" customHeight="1" x14ac:dyDescent="0.2">
      <c r="A508" s="17">
        <v>826</v>
      </c>
      <c r="B508" s="57" t="s">
        <v>470</v>
      </c>
    </row>
    <row r="509" spans="1:2" ht="14.25" customHeight="1" x14ac:dyDescent="0.2">
      <c r="A509" s="17">
        <v>827</v>
      </c>
      <c r="B509" s="57" t="s">
        <v>319</v>
      </c>
    </row>
    <row r="510" spans="1:2" ht="14.25" customHeight="1" x14ac:dyDescent="0.2">
      <c r="A510" s="17">
        <v>828</v>
      </c>
      <c r="B510" s="57" t="s">
        <v>418</v>
      </c>
    </row>
    <row r="511" spans="1:2" ht="14.25" customHeight="1" x14ac:dyDescent="0.2">
      <c r="A511" s="17">
        <v>829</v>
      </c>
      <c r="B511" s="57" t="s">
        <v>768</v>
      </c>
    </row>
    <row r="512" spans="1:2" ht="14.25" customHeight="1" x14ac:dyDescent="0.2">
      <c r="A512" s="17">
        <v>830</v>
      </c>
      <c r="B512" s="57" t="s">
        <v>194</v>
      </c>
    </row>
    <row r="513" spans="1:2" ht="14.25" customHeight="1" x14ac:dyDescent="0.2">
      <c r="A513" s="17">
        <v>831</v>
      </c>
      <c r="B513" s="57" t="s">
        <v>91</v>
      </c>
    </row>
    <row r="514" spans="1:2" ht="14.25" customHeight="1" x14ac:dyDescent="0.2">
      <c r="A514" s="17">
        <v>832</v>
      </c>
      <c r="B514" s="57" t="s">
        <v>918</v>
      </c>
    </row>
    <row r="515" spans="1:2" ht="14.25" customHeight="1" x14ac:dyDescent="0.2">
      <c r="A515" s="17">
        <v>834</v>
      </c>
      <c r="B515" s="57" t="s">
        <v>614</v>
      </c>
    </row>
    <row r="516" spans="1:2" ht="14.25" customHeight="1" x14ac:dyDescent="0.2">
      <c r="A516" s="17">
        <v>835</v>
      </c>
      <c r="B516" s="57" t="s">
        <v>270</v>
      </c>
    </row>
    <row r="517" spans="1:2" ht="14.25" customHeight="1" x14ac:dyDescent="0.2">
      <c r="A517" s="17">
        <v>836</v>
      </c>
      <c r="B517" s="57" t="s">
        <v>379</v>
      </c>
    </row>
    <row r="518" spans="1:2" ht="14.25" customHeight="1" x14ac:dyDescent="0.2">
      <c r="A518" s="17">
        <v>837</v>
      </c>
      <c r="B518" s="57" t="s">
        <v>649</v>
      </c>
    </row>
    <row r="519" spans="1:2" ht="14.25" customHeight="1" x14ac:dyDescent="0.2">
      <c r="A519" s="17">
        <v>838</v>
      </c>
      <c r="B519" s="57" t="s">
        <v>745</v>
      </c>
    </row>
    <row r="520" spans="1:2" ht="14.25" customHeight="1" x14ac:dyDescent="0.2">
      <c r="A520" s="17">
        <v>839</v>
      </c>
      <c r="B520" s="57" t="s">
        <v>287</v>
      </c>
    </row>
    <row r="521" spans="1:2" ht="14.25" customHeight="1" x14ac:dyDescent="0.2">
      <c r="A521" s="17">
        <v>840</v>
      </c>
      <c r="B521" s="57" t="s">
        <v>693</v>
      </c>
    </row>
    <row r="522" spans="1:2" ht="14.25" customHeight="1" x14ac:dyDescent="0.2">
      <c r="A522" s="17">
        <v>841</v>
      </c>
      <c r="B522" s="57" t="s">
        <v>384</v>
      </c>
    </row>
    <row r="523" spans="1:2" ht="14.25" customHeight="1" x14ac:dyDescent="0.2">
      <c r="A523" s="17">
        <v>842</v>
      </c>
      <c r="B523" s="57" t="s">
        <v>596</v>
      </c>
    </row>
    <row r="524" spans="1:2" ht="14.25" customHeight="1" x14ac:dyDescent="0.2">
      <c r="A524" s="17">
        <v>843</v>
      </c>
      <c r="B524" s="57" t="s">
        <v>259</v>
      </c>
    </row>
    <row r="525" spans="1:2" ht="14.25" customHeight="1" x14ac:dyDescent="0.2">
      <c r="A525" s="17">
        <v>844</v>
      </c>
      <c r="B525" s="57" t="s">
        <v>112</v>
      </c>
    </row>
    <row r="526" spans="1:2" ht="14.25" customHeight="1" x14ac:dyDescent="0.2">
      <c r="A526" s="17">
        <v>845</v>
      </c>
      <c r="B526" s="57" t="s">
        <v>162</v>
      </c>
    </row>
    <row r="527" spans="1:2" ht="14.25" customHeight="1" x14ac:dyDescent="0.2">
      <c r="A527" s="17">
        <v>846</v>
      </c>
      <c r="B527" s="57" t="s">
        <v>1003</v>
      </c>
    </row>
    <row r="528" spans="1:2" ht="14.25" customHeight="1" x14ac:dyDescent="0.2">
      <c r="A528" s="17">
        <v>847</v>
      </c>
      <c r="B528" s="57" t="s">
        <v>240</v>
      </c>
    </row>
    <row r="529" spans="1:2" ht="14.25" customHeight="1" x14ac:dyDescent="0.2">
      <c r="A529" s="17">
        <v>848</v>
      </c>
      <c r="B529" s="57" t="s">
        <v>251</v>
      </c>
    </row>
    <row r="530" spans="1:2" ht="14.25" customHeight="1" x14ac:dyDescent="0.2">
      <c r="A530" s="17">
        <v>849</v>
      </c>
      <c r="B530" s="57" t="s">
        <v>449</v>
      </c>
    </row>
    <row r="531" spans="1:2" ht="14.25" customHeight="1" x14ac:dyDescent="0.2">
      <c r="A531" s="17">
        <v>850</v>
      </c>
      <c r="B531" s="57" t="s">
        <v>231</v>
      </c>
    </row>
    <row r="532" spans="1:2" ht="14.25" customHeight="1" x14ac:dyDescent="0.2">
      <c r="A532" s="17">
        <v>851</v>
      </c>
      <c r="B532" s="57" t="s">
        <v>243</v>
      </c>
    </row>
    <row r="533" spans="1:2" ht="14.25" customHeight="1" x14ac:dyDescent="0.2">
      <c r="A533" s="17">
        <v>852</v>
      </c>
      <c r="B533" s="57" t="s">
        <v>89</v>
      </c>
    </row>
    <row r="534" spans="1:2" ht="14.25" customHeight="1" x14ac:dyDescent="0.2">
      <c r="A534" s="17">
        <v>853</v>
      </c>
      <c r="B534" s="57" t="s">
        <v>205</v>
      </c>
    </row>
    <row r="535" spans="1:2" ht="14.25" customHeight="1" x14ac:dyDescent="0.2">
      <c r="A535" s="17">
        <v>854</v>
      </c>
      <c r="B535" s="57" t="s">
        <v>296</v>
      </c>
    </row>
    <row r="536" spans="1:2" ht="14.25" customHeight="1" x14ac:dyDescent="0.2">
      <c r="A536" s="17">
        <v>855</v>
      </c>
      <c r="B536" s="57" t="s">
        <v>187</v>
      </c>
    </row>
    <row r="537" spans="1:2" ht="14.25" customHeight="1" x14ac:dyDescent="0.2">
      <c r="A537" s="17">
        <v>856</v>
      </c>
      <c r="B537" s="57" t="s">
        <v>578</v>
      </c>
    </row>
    <row r="538" spans="1:2" ht="14.25" customHeight="1" x14ac:dyDescent="0.2">
      <c r="A538" s="17">
        <v>857</v>
      </c>
      <c r="B538" s="57" t="s">
        <v>786</v>
      </c>
    </row>
    <row r="539" spans="1:2" ht="14.25" customHeight="1" x14ac:dyDescent="0.2">
      <c r="A539" s="17">
        <v>857</v>
      </c>
      <c r="B539" s="57" t="s">
        <v>787</v>
      </c>
    </row>
    <row r="540" spans="1:2" ht="14.25" customHeight="1" x14ac:dyDescent="0.2">
      <c r="A540" s="17">
        <v>858</v>
      </c>
      <c r="B540" s="57" t="s">
        <v>473</v>
      </c>
    </row>
    <row r="541" spans="1:2" ht="14.25" customHeight="1" x14ac:dyDescent="0.2">
      <c r="A541" s="17">
        <v>859</v>
      </c>
      <c r="B541" s="57" t="s">
        <v>334</v>
      </c>
    </row>
    <row r="542" spans="1:2" ht="14.25" customHeight="1" x14ac:dyDescent="0.2">
      <c r="A542" s="17">
        <v>860</v>
      </c>
      <c r="B542" s="57" t="s">
        <v>597</v>
      </c>
    </row>
    <row r="543" spans="1:2" ht="14.25" customHeight="1" x14ac:dyDescent="0.2">
      <c r="A543" s="17">
        <v>861</v>
      </c>
      <c r="B543" s="57" t="s">
        <v>610</v>
      </c>
    </row>
    <row r="544" spans="1:2" ht="14.25" customHeight="1" x14ac:dyDescent="0.2">
      <c r="A544" s="17">
        <v>862</v>
      </c>
      <c r="B544" s="57" t="s">
        <v>777</v>
      </c>
    </row>
    <row r="545" spans="1:2" ht="14.25" customHeight="1" x14ac:dyDescent="0.2">
      <c r="A545" s="17">
        <v>863</v>
      </c>
      <c r="B545" s="57" t="s">
        <v>789</v>
      </c>
    </row>
    <row r="546" spans="1:2" ht="14.25" customHeight="1" x14ac:dyDescent="0.2">
      <c r="A546" s="17">
        <v>864</v>
      </c>
      <c r="B546" s="57" t="s">
        <v>291</v>
      </c>
    </row>
    <row r="547" spans="1:2" ht="14.25" customHeight="1" x14ac:dyDescent="0.2">
      <c r="A547" s="17">
        <v>865</v>
      </c>
      <c r="B547" s="57" t="s">
        <v>896</v>
      </c>
    </row>
    <row r="548" spans="1:2" ht="14.25" customHeight="1" x14ac:dyDescent="0.2">
      <c r="A548" s="17">
        <v>867</v>
      </c>
      <c r="B548" s="57" t="s">
        <v>371</v>
      </c>
    </row>
    <row r="549" spans="1:2" ht="14.25" customHeight="1" x14ac:dyDescent="0.2">
      <c r="A549" s="17">
        <v>868</v>
      </c>
      <c r="B549" s="57" t="s">
        <v>576</v>
      </c>
    </row>
    <row r="550" spans="1:2" ht="14.25" customHeight="1" x14ac:dyDescent="0.2">
      <c r="A550" s="17">
        <v>869</v>
      </c>
      <c r="B550" s="57" t="s">
        <v>461</v>
      </c>
    </row>
    <row r="551" spans="1:2" ht="14.25" customHeight="1" x14ac:dyDescent="0.2">
      <c r="A551" s="17">
        <v>870</v>
      </c>
      <c r="B551" s="57" t="s">
        <v>295</v>
      </c>
    </row>
    <row r="552" spans="1:2" ht="14.25" customHeight="1" x14ac:dyDescent="0.2">
      <c r="A552" s="17">
        <v>871</v>
      </c>
      <c r="B552" s="57" t="s">
        <v>346</v>
      </c>
    </row>
    <row r="553" spans="1:2" ht="14.25" customHeight="1" x14ac:dyDescent="0.2">
      <c r="A553" s="17">
        <v>872</v>
      </c>
      <c r="B553" s="57" t="s">
        <v>70</v>
      </c>
    </row>
    <row r="554" spans="1:2" ht="14.25" customHeight="1" x14ac:dyDescent="0.2">
      <c r="A554" s="17">
        <v>873</v>
      </c>
      <c r="B554" s="57" t="s">
        <v>54</v>
      </c>
    </row>
    <row r="555" spans="1:2" ht="14.25" customHeight="1" x14ac:dyDescent="0.2">
      <c r="A555" s="17">
        <v>874</v>
      </c>
      <c r="B555" s="57" t="s">
        <v>983</v>
      </c>
    </row>
    <row r="556" spans="1:2" ht="14.25" customHeight="1" x14ac:dyDescent="0.2">
      <c r="A556" s="17">
        <v>875</v>
      </c>
      <c r="B556" s="57" t="s">
        <v>901</v>
      </c>
    </row>
    <row r="557" spans="1:2" ht="14.25" customHeight="1" x14ac:dyDescent="0.2">
      <c r="A557" s="17">
        <v>876</v>
      </c>
      <c r="B557" s="57" t="s">
        <v>612</v>
      </c>
    </row>
    <row r="558" spans="1:2" ht="14.25" customHeight="1" x14ac:dyDescent="0.2">
      <c r="A558" s="17">
        <v>877</v>
      </c>
      <c r="B558" s="57" t="s">
        <v>967</v>
      </c>
    </row>
    <row r="559" spans="1:2" ht="14.25" customHeight="1" x14ac:dyDescent="0.2">
      <c r="A559" s="17">
        <v>878</v>
      </c>
      <c r="B559" s="57" t="s">
        <v>453</v>
      </c>
    </row>
    <row r="560" spans="1:2" ht="14.25" customHeight="1" x14ac:dyDescent="0.2">
      <c r="A560" s="17">
        <v>879</v>
      </c>
      <c r="B560" s="57" t="s">
        <v>509</v>
      </c>
    </row>
    <row r="561" spans="1:2" ht="14.25" customHeight="1" x14ac:dyDescent="0.2">
      <c r="A561" s="17">
        <v>880</v>
      </c>
      <c r="B561" s="57" t="s">
        <v>868</v>
      </c>
    </row>
    <row r="562" spans="1:2" ht="14.25" customHeight="1" x14ac:dyDescent="0.2">
      <c r="A562" s="17">
        <v>881</v>
      </c>
      <c r="B562" s="57" t="s">
        <v>935</v>
      </c>
    </row>
    <row r="563" spans="1:2" ht="14.25" customHeight="1" x14ac:dyDescent="0.2">
      <c r="A563" s="17">
        <v>882</v>
      </c>
      <c r="B563" s="57" t="s">
        <v>696</v>
      </c>
    </row>
    <row r="564" spans="1:2" ht="14.25" customHeight="1" x14ac:dyDescent="0.2">
      <c r="A564" s="17">
        <v>883</v>
      </c>
      <c r="B564" s="57" t="s">
        <v>217</v>
      </c>
    </row>
    <row r="565" spans="1:2" ht="14.25" customHeight="1" x14ac:dyDescent="0.2">
      <c r="A565" s="17">
        <v>884</v>
      </c>
      <c r="B565" s="57" t="s">
        <v>497</v>
      </c>
    </row>
    <row r="566" spans="1:2" ht="14.25" customHeight="1" x14ac:dyDescent="0.2">
      <c r="A566" s="17">
        <v>885</v>
      </c>
      <c r="B566" s="57" t="s">
        <v>466</v>
      </c>
    </row>
    <row r="567" spans="1:2" ht="14.25" customHeight="1" x14ac:dyDescent="0.2">
      <c r="A567" s="17">
        <v>886</v>
      </c>
      <c r="B567" s="57" t="s">
        <v>331</v>
      </c>
    </row>
    <row r="568" spans="1:2" ht="14.25" customHeight="1" x14ac:dyDescent="0.2">
      <c r="A568" s="17">
        <v>887</v>
      </c>
      <c r="B568" s="57" t="s">
        <v>325</v>
      </c>
    </row>
    <row r="569" spans="1:2" ht="14.25" customHeight="1" x14ac:dyDescent="0.2">
      <c r="A569" s="17">
        <v>888</v>
      </c>
      <c r="B569" s="57" t="s">
        <v>288</v>
      </c>
    </row>
    <row r="570" spans="1:2" ht="14.25" customHeight="1" x14ac:dyDescent="0.2">
      <c r="A570" s="17">
        <v>889</v>
      </c>
      <c r="B570" s="57" t="s">
        <v>1009</v>
      </c>
    </row>
    <row r="571" spans="1:2" ht="14.25" customHeight="1" x14ac:dyDescent="0.2">
      <c r="A571" s="17">
        <v>890</v>
      </c>
      <c r="B571" s="57" t="s">
        <v>1002</v>
      </c>
    </row>
    <row r="572" spans="1:2" ht="14.25" customHeight="1" x14ac:dyDescent="0.2">
      <c r="A572" s="17">
        <v>891</v>
      </c>
      <c r="B572" s="57" t="s">
        <v>629</v>
      </c>
    </row>
    <row r="573" spans="1:2" ht="14.25" customHeight="1" x14ac:dyDescent="0.2">
      <c r="A573" s="17">
        <v>892</v>
      </c>
      <c r="B573" s="57" t="s">
        <v>936</v>
      </c>
    </row>
    <row r="574" spans="1:2" ht="14.25" customHeight="1" x14ac:dyDescent="0.2">
      <c r="A574" s="17">
        <v>893</v>
      </c>
      <c r="B574" s="57" t="s">
        <v>1028</v>
      </c>
    </row>
    <row r="575" spans="1:2" ht="14.25" customHeight="1" x14ac:dyDescent="0.2">
      <c r="A575" s="17">
        <v>894</v>
      </c>
      <c r="B575" s="57" t="s">
        <v>1017</v>
      </c>
    </row>
    <row r="576" spans="1:2" ht="14.25" customHeight="1" x14ac:dyDescent="0.2">
      <c r="A576" s="17">
        <v>895</v>
      </c>
      <c r="B576" s="57" t="s">
        <v>1005</v>
      </c>
    </row>
    <row r="577" spans="1:2" ht="14.25" customHeight="1" x14ac:dyDescent="0.2">
      <c r="A577" s="17">
        <v>896</v>
      </c>
      <c r="B577" s="57" t="s">
        <v>874</v>
      </c>
    </row>
    <row r="578" spans="1:2" ht="14.25" customHeight="1" x14ac:dyDescent="0.2">
      <c r="A578" s="17">
        <v>897</v>
      </c>
      <c r="B578" s="57" t="s">
        <v>455</v>
      </c>
    </row>
    <row r="579" spans="1:2" ht="14.25" customHeight="1" x14ac:dyDescent="0.2">
      <c r="A579" s="17">
        <v>898</v>
      </c>
      <c r="B579" s="57" t="s">
        <v>123</v>
      </c>
    </row>
    <row r="580" spans="1:2" ht="14.25" customHeight="1" x14ac:dyDescent="0.2">
      <c r="A580" s="17">
        <v>899</v>
      </c>
      <c r="B580" s="57" t="s">
        <v>524</v>
      </c>
    </row>
    <row r="581" spans="1:2" ht="14.25" customHeight="1" x14ac:dyDescent="0.2">
      <c r="A581" s="17">
        <v>900</v>
      </c>
      <c r="B581" s="57" t="s">
        <v>1025</v>
      </c>
    </row>
    <row r="582" spans="1:2" ht="14.25" customHeight="1" x14ac:dyDescent="0.2">
      <c r="A582" s="17">
        <v>901</v>
      </c>
      <c r="B582" s="57" t="s">
        <v>261</v>
      </c>
    </row>
    <row r="583" spans="1:2" ht="14.25" customHeight="1" x14ac:dyDescent="0.2">
      <c r="A583" s="17">
        <v>902</v>
      </c>
      <c r="B583" s="57" t="s">
        <v>639</v>
      </c>
    </row>
    <row r="584" spans="1:2" ht="14.25" customHeight="1" x14ac:dyDescent="0.2">
      <c r="A584" s="17">
        <v>903</v>
      </c>
      <c r="B584" s="57" t="s">
        <v>1011</v>
      </c>
    </row>
    <row r="585" spans="1:2" ht="14.25" customHeight="1" x14ac:dyDescent="0.2">
      <c r="A585" s="17">
        <v>905</v>
      </c>
      <c r="B585" s="57" t="s">
        <v>572</v>
      </c>
    </row>
    <row r="586" spans="1:2" ht="14.25" customHeight="1" x14ac:dyDescent="0.2">
      <c r="A586" s="17">
        <v>906</v>
      </c>
      <c r="B586" s="57" t="s">
        <v>279</v>
      </c>
    </row>
    <row r="587" spans="1:2" ht="14.25" customHeight="1" x14ac:dyDescent="0.2">
      <c r="A587" s="17">
        <v>907</v>
      </c>
      <c r="B587" s="57" t="s">
        <v>676</v>
      </c>
    </row>
    <row r="588" spans="1:2" ht="14.25" customHeight="1" x14ac:dyDescent="0.2">
      <c r="A588" s="17">
        <v>908</v>
      </c>
      <c r="B588" s="57" t="s">
        <v>691</v>
      </c>
    </row>
    <row r="589" spans="1:2" ht="14.25" customHeight="1" x14ac:dyDescent="0.2">
      <c r="A589" s="17">
        <v>910</v>
      </c>
      <c r="B589" s="57" t="s">
        <v>146</v>
      </c>
    </row>
    <row r="590" spans="1:2" ht="14.25" customHeight="1" x14ac:dyDescent="0.2">
      <c r="A590" s="17">
        <v>911</v>
      </c>
      <c r="B590" s="57" t="s">
        <v>915</v>
      </c>
    </row>
    <row r="591" spans="1:2" ht="14.25" customHeight="1" x14ac:dyDescent="0.2">
      <c r="A591" s="17">
        <v>912</v>
      </c>
      <c r="B591" s="57" t="s">
        <v>621</v>
      </c>
    </row>
    <row r="592" spans="1:2" ht="14.25" customHeight="1" x14ac:dyDescent="0.2">
      <c r="A592" s="17">
        <v>913</v>
      </c>
      <c r="B592" s="57" t="s">
        <v>826</v>
      </c>
    </row>
    <row r="593" spans="1:2" ht="14.25" customHeight="1" x14ac:dyDescent="0.2">
      <c r="A593" s="17">
        <v>914</v>
      </c>
      <c r="B593" s="57" t="s">
        <v>561</v>
      </c>
    </row>
    <row r="594" spans="1:2" ht="14.25" customHeight="1" x14ac:dyDescent="0.2">
      <c r="A594" s="17">
        <v>915</v>
      </c>
      <c r="B594" s="57" t="s">
        <v>361</v>
      </c>
    </row>
    <row r="595" spans="1:2" ht="14.25" customHeight="1" x14ac:dyDescent="0.2">
      <c r="A595" s="17">
        <v>916</v>
      </c>
      <c r="B595" s="57" t="s">
        <v>225</v>
      </c>
    </row>
    <row r="596" spans="1:2" ht="14.25" customHeight="1" x14ac:dyDescent="0.2">
      <c r="A596" s="17">
        <v>917</v>
      </c>
      <c r="B596" s="57" t="s">
        <v>252</v>
      </c>
    </row>
    <row r="597" spans="1:2" ht="14.25" customHeight="1" x14ac:dyDescent="0.2">
      <c r="A597" s="17">
        <v>918</v>
      </c>
      <c r="B597" s="57" t="s">
        <v>488</v>
      </c>
    </row>
    <row r="598" spans="1:2" ht="14.25" customHeight="1" x14ac:dyDescent="0.2">
      <c r="A598" s="17">
        <v>919</v>
      </c>
      <c r="B598" s="57" t="s">
        <v>970</v>
      </c>
    </row>
    <row r="599" spans="1:2" ht="14.25" customHeight="1" x14ac:dyDescent="0.2">
      <c r="A599" s="17">
        <v>920</v>
      </c>
      <c r="B599" s="57" t="s">
        <v>526</v>
      </c>
    </row>
    <row r="600" spans="1:2" ht="14.25" customHeight="1" x14ac:dyDescent="0.2">
      <c r="A600" s="17">
        <v>921</v>
      </c>
      <c r="B600" s="57" t="s">
        <v>232</v>
      </c>
    </row>
    <row r="601" spans="1:2" ht="14.25" customHeight="1" x14ac:dyDescent="0.2">
      <c r="A601" s="17">
        <v>922</v>
      </c>
      <c r="B601" s="57" t="s">
        <v>409</v>
      </c>
    </row>
    <row r="602" spans="1:2" ht="14.25" customHeight="1" x14ac:dyDescent="0.2">
      <c r="A602" s="17">
        <v>923</v>
      </c>
      <c r="B602" s="57" t="s">
        <v>782</v>
      </c>
    </row>
    <row r="603" spans="1:2" ht="14.25" customHeight="1" x14ac:dyDescent="0.2">
      <c r="A603" s="17">
        <v>924</v>
      </c>
      <c r="B603" s="57" t="s">
        <v>249</v>
      </c>
    </row>
    <row r="604" spans="1:2" ht="14.25" customHeight="1" x14ac:dyDescent="0.2">
      <c r="A604" s="17">
        <v>925</v>
      </c>
      <c r="B604" s="57" t="s">
        <v>298</v>
      </c>
    </row>
    <row r="605" spans="1:2" ht="14.25" customHeight="1" x14ac:dyDescent="0.2">
      <c r="A605" s="17">
        <v>926</v>
      </c>
      <c r="B605" s="57" t="s">
        <v>266</v>
      </c>
    </row>
    <row r="606" spans="1:2" ht="14.25" customHeight="1" x14ac:dyDescent="0.2">
      <c r="A606" s="19">
        <v>926</v>
      </c>
      <c r="B606" s="58" t="s">
        <v>266</v>
      </c>
    </row>
    <row r="607" spans="1:2" ht="14.25" customHeight="1" x14ac:dyDescent="0.2">
      <c r="A607" s="17">
        <v>927</v>
      </c>
      <c r="B607" s="57" t="s">
        <v>689</v>
      </c>
    </row>
    <row r="608" spans="1:2" ht="14.25" customHeight="1" x14ac:dyDescent="0.2">
      <c r="A608" s="17">
        <v>928</v>
      </c>
      <c r="B608" s="57" t="s">
        <v>42</v>
      </c>
    </row>
    <row r="609" spans="1:2" ht="14.25" customHeight="1" x14ac:dyDescent="0.2">
      <c r="A609" s="17">
        <v>929</v>
      </c>
      <c r="B609" s="57" t="s">
        <v>417</v>
      </c>
    </row>
    <row r="610" spans="1:2" ht="14.25" customHeight="1" x14ac:dyDescent="0.2">
      <c r="A610" s="17">
        <v>930</v>
      </c>
      <c r="B610" s="57" t="s">
        <v>27</v>
      </c>
    </row>
    <row r="611" spans="1:2" ht="14.25" customHeight="1" x14ac:dyDescent="0.2">
      <c r="A611" s="17">
        <v>931</v>
      </c>
      <c r="B611" s="57" t="s">
        <v>26</v>
      </c>
    </row>
    <row r="612" spans="1:2" ht="14.25" customHeight="1" x14ac:dyDescent="0.2">
      <c r="A612" s="17">
        <v>932</v>
      </c>
      <c r="B612" s="57" t="s">
        <v>803</v>
      </c>
    </row>
    <row r="613" spans="1:2" ht="14.25" customHeight="1" x14ac:dyDescent="0.2">
      <c r="A613" s="17">
        <v>933</v>
      </c>
      <c r="B613" s="57" t="s">
        <v>339</v>
      </c>
    </row>
    <row r="614" spans="1:2" ht="14.25" customHeight="1" x14ac:dyDescent="0.2">
      <c r="A614" s="17">
        <v>934</v>
      </c>
      <c r="B614" s="57" t="s">
        <v>734</v>
      </c>
    </row>
    <row r="615" spans="1:2" ht="14.25" customHeight="1" x14ac:dyDescent="0.2">
      <c r="A615" s="17">
        <v>935</v>
      </c>
      <c r="B615" s="57" t="s">
        <v>949</v>
      </c>
    </row>
    <row r="616" spans="1:2" ht="14.25" customHeight="1" x14ac:dyDescent="0.2">
      <c r="A616" s="17">
        <v>936</v>
      </c>
      <c r="B616" s="57" t="s">
        <v>776</v>
      </c>
    </row>
    <row r="617" spans="1:2" ht="14.25" customHeight="1" x14ac:dyDescent="0.2">
      <c r="A617" s="17">
        <v>937</v>
      </c>
      <c r="B617" s="57" t="s">
        <v>185</v>
      </c>
    </row>
    <row r="618" spans="1:2" ht="14.25" customHeight="1" x14ac:dyDescent="0.2">
      <c r="A618" s="17">
        <v>938</v>
      </c>
      <c r="B618" s="57" t="s">
        <v>239</v>
      </c>
    </row>
    <row r="619" spans="1:2" ht="14.25" customHeight="1" x14ac:dyDescent="0.2">
      <c r="A619" s="17">
        <v>939</v>
      </c>
      <c r="B619" s="57" t="s">
        <v>887</v>
      </c>
    </row>
    <row r="620" spans="1:2" ht="14.25" customHeight="1" x14ac:dyDescent="0.2">
      <c r="A620" s="17">
        <v>940</v>
      </c>
      <c r="B620" s="57" t="s">
        <v>175</v>
      </c>
    </row>
    <row r="621" spans="1:2" ht="14.25" customHeight="1" x14ac:dyDescent="0.2">
      <c r="A621" s="17">
        <v>941</v>
      </c>
      <c r="B621" s="57" t="s">
        <v>1192</v>
      </c>
    </row>
    <row r="622" spans="1:2" ht="14.25" customHeight="1" x14ac:dyDescent="0.2">
      <c r="A622" s="17">
        <v>942</v>
      </c>
      <c r="B622" s="57" t="s">
        <v>148</v>
      </c>
    </row>
    <row r="623" spans="1:2" ht="14.25" customHeight="1" x14ac:dyDescent="0.2">
      <c r="A623" s="17">
        <v>943</v>
      </c>
      <c r="B623" s="57" t="s">
        <v>554</v>
      </c>
    </row>
    <row r="624" spans="1:2" ht="14.25" customHeight="1" x14ac:dyDescent="0.2">
      <c r="A624" s="17">
        <v>944</v>
      </c>
      <c r="B624" s="57" t="s">
        <v>568</v>
      </c>
    </row>
    <row r="625" spans="1:2" ht="14.25" customHeight="1" x14ac:dyDescent="0.2">
      <c r="A625" s="17">
        <v>945</v>
      </c>
      <c r="B625" s="57" t="s">
        <v>958</v>
      </c>
    </row>
    <row r="626" spans="1:2" ht="14.25" customHeight="1" x14ac:dyDescent="0.2">
      <c r="A626" s="17">
        <v>946</v>
      </c>
      <c r="B626" s="57" t="s">
        <v>559</v>
      </c>
    </row>
    <row r="627" spans="1:2" ht="14.25" customHeight="1" x14ac:dyDescent="0.2">
      <c r="A627" s="17">
        <v>947</v>
      </c>
      <c r="B627" s="57" t="s">
        <v>178</v>
      </c>
    </row>
    <row r="628" spans="1:2" ht="14.25" customHeight="1" x14ac:dyDescent="0.2">
      <c r="A628" s="17">
        <v>948</v>
      </c>
      <c r="B628" s="57" t="s">
        <v>154</v>
      </c>
    </row>
    <row r="629" spans="1:2" ht="14.25" customHeight="1" x14ac:dyDescent="0.2">
      <c r="A629" s="17">
        <v>949</v>
      </c>
      <c r="B629" s="57" t="s">
        <v>457</v>
      </c>
    </row>
    <row r="630" spans="1:2" ht="14.25" customHeight="1" x14ac:dyDescent="0.2">
      <c r="A630" s="17">
        <v>950</v>
      </c>
      <c r="B630" s="57" t="s">
        <v>866</v>
      </c>
    </row>
    <row r="631" spans="1:2" ht="14.25" customHeight="1" x14ac:dyDescent="0.2">
      <c r="A631" s="17">
        <v>951</v>
      </c>
      <c r="B631" s="57" t="s">
        <v>133</v>
      </c>
    </row>
    <row r="632" spans="1:2" ht="14.25" customHeight="1" x14ac:dyDescent="0.2">
      <c r="A632" s="17">
        <v>952</v>
      </c>
      <c r="B632" s="57" t="s">
        <v>685</v>
      </c>
    </row>
    <row r="633" spans="1:2" ht="14.25" customHeight="1" x14ac:dyDescent="0.2">
      <c r="A633" s="17">
        <v>953</v>
      </c>
      <c r="B633" s="57" t="s">
        <v>387</v>
      </c>
    </row>
    <row r="634" spans="1:2" ht="14.25" customHeight="1" x14ac:dyDescent="0.2">
      <c r="A634" s="17">
        <v>954</v>
      </c>
      <c r="B634" s="57" t="s">
        <v>688</v>
      </c>
    </row>
    <row r="635" spans="1:2" ht="14.25" customHeight="1" x14ac:dyDescent="0.2">
      <c r="A635" s="17">
        <v>955</v>
      </c>
      <c r="B635" s="57" t="s">
        <v>193</v>
      </c>
    </row>
    <row r="636" spans="1:2" ht="14.25" customHeight="1" x14ac:dyDescent="0.2">
      <c r="A636" s="17">
        <v>956</v>
      </c>
      <c r="B636" s="57" t="s">
        <v>322</v>
      </c>
    </row>
    <row r="637" spans="1:2" ht="14.25" customHeight="1" x14ac:dyDescent="0.2">
      <c r="A637" s="17">
        <v>957</v>
      </c>
      <c r="B637" s="57" t="s">
        <v>999</v>
      </c>
    </row>
    <row r="638" spans="1:2" ht="14.25" customHeight="1" x14ac:dyDescent="0.2">
      <c r="A638" s="17">
        <v>958</v>
      </c>
      <c r="B638" s="57" t="s">
        <v>348</v>
      </c>
    </row>
    <row r="639" spans="1:2" ht="14.25" customHeight="1" x14ac:dyDescent="0.2">
      <c r="A639" s="17">
        <v>959</v>
      </c>
      <c r="B639" s="57" t="s">
        <v>903</v>
      </c>
    </row>
    <row r="640" spans="1:2" ht="14.25" customHeight="1" x14ac:dyDescent="0.2">
      <c r="A640" s="17">
        <v>960</v>
      </c>
      <c r="B640" s="57" t="s">
        <v>82</v>
      </c>
    </row>
    <row r="641" spans="1:2" ht="14.25" customHeight="1" x14ac:dyDescent="0.2">
      <c r="A641" s="17">
        <v>961</v>
      </c>
      <c r="B641" s="57" t="s">
        <v>1016</v>
      </c>
    </row>
    <row r="642" spans="1:2" ht="14.25" customHeight="1" x14ac:dyDescent="0.2">
      <c r="A642" s="17">
        <v>962</v>
      </c>
      <c r="B642" s="57" t="s">
        <v>149</v>
      </c>
    </row>
    <row r="643" spans="1:2" ht="14.25" customHeight="1" x14ac:dyDescent="0.2">
      <c r="A643" s="17">
        <v>963</v>
      </c>
      <c r="B643" s="57" t="s">
        <v>49</v>
      </c>
    </row>
    <row r="644" spans="1:2" ht="14.25" customHeight="1" x14ac:dyDescent="0.2">
      <c r="A644" s="17">
        <v>964</v>
      </c>
      <c r="B644" s="57" t="s">
        <v>299</v>
      </c>
    </row>
    <row r="645" spans="1:2" ht="14.25" customHeight="1" x14ac:dyDescent="0.2">
      <c r="A645" s="17">
        <v>965</v>
      </c>
      <c r="B645" s="57" t="s">
        <v>358</v>
      </c>
    </row>
    <row r="646" spans="1:2" ht="14.25" customHeight="1" x14ac:dyDescent="0.2">
      <c r="A646" s="17">
        <v>966</v>
      </c>
      <c r="B646" s="57" t="s">
        <v>938</v>
      </c>
    </row>
    <row r="647" spans="1:2" ht="14.25" customHeight="1" x14ac:dyDescent="0.2">
      <c r="A647" s="17">
        <v>967</v>
      </c>
      <c r="B647" s="57" t="s">
        <v>778</v>
      </c>
    </row>
    <row r="648" spans="1:2" ht="14.25" customHeight="1" x14ac:dyDescent="0.2">
      <c r="A648" s="17">
        <v>968</v>
      </c>
      <c r="B648" s="57" t="s">
        <v>890</v>
      </c>
    </row>
    <row r="649" spans="1:2" ht="14.25" customHeight="1" x14ac:dyDescent="0.2">
      <c r="A649" s="17">
        <v>969</v>
      </c>
      <c r="B649" s="57" t="s">
        <v>412</v>
      </c>
    </row>
    <row r="650" spans="1:2" ht="14.25" customHeight="1" x14ac:dyDescent="0.2">
      <c r="A650" s="17">
        <v>970</v>
      </c>
      <c r="B650" s="57" t="s">
        <v>900</v>
      </c>
    </row>
    <row r="651" spans="1:2" ht="14.25" customHeight="1" x14ac:dyDescent="0.2">
      <c r="A651" s="17">
        <v>971</v>
      </c>
      <c r="B651" s="57" t="s">
        <v>658</v>
      </c>
    </row>
    <row r="652" spans="1:2" ht="14.25" customHeight="1" x14ac:dyDescent="0.2">
      <c r="A652" s="17">
        <v>972</v>
      </c>
      <c r="B652" s="57" t="s">
        <v>570</v>
      </c>
    </row>
    <row r="653" spans="1:2" ht="14.25" customHeight="1" x14ac:dyDescent="0.2">
      <c r="A653" s="17">
        <v>973</v>
      </c>
      <c r="B653" s="57" t="s">
        <v>164</v>
      </c>
    </row>
    <row r="654" spans="1:2" ht="14.25" customHeight="1" x14ac:dyDescent="0.2">
      <c r="A654" s="17">
        <v>974</v>
      </c>
      <c r="B654" s="57" t="s">
        <v>258</v>
      </c>
    </row>
    <row r="655" spans="1:2" ht="14.25" customHeight="1" x14ac:dyDescent="0.2">
      <c r="A655" s="17">
        <v>975</v>
      </c>
      <c r="B655" s="57" t="s">
        <v>818</v>
      </c>
    </row>
    <row r="656" spans="1:2" ht="14.25" customHeight="1" x14ac:dyDescent="0.2">
      <c r="A656" s="17">
        <v>976</v>
      </c>
      <c r="B656" s="57" t="s">
        <v>917</v>
      </c>
    </row>
    <row r="657" spans="1:2" ht="14.25" customHeight="1" x14ac:dyDescent="0.2">
      <c r="A657" s="17">
        <v>977</v>
      </c>
      <c r="B657" s="57" t="s">
        <v>83</v>
      </c>
    </row>
    <row r="658" spans="1:2" ht="14.25" customHeight="1" x14ac:dyDescent="0.2">
      <c r="A658" s="17">
        <v>978</v>
      </c>
      <c r="B658" s="57" t="s">
        <v>246</v>
      </c>
    </row>
    <row r="659" spans="1:2" ht="14.25" customHeight="1" x14ac:dyDescent="0.2">
      <c r="A659" s="17">
        <v>979</v>
      </c>
      <c r="B659" s="57" t="s">
        <v>703</v>
      </c>
    </row>
    <row r="660" spans="1:2" ht="14.25" customHeight="1" x14ac:dyDescent="0.2">
      <c r="A660" s="17">
        <v>980</v>
      </c>
      <c r="B660" s="57" t="s">
        <v>446</v>
      </c>
    </row>
    <row r="661" spans="1:2" ht="14.25" customHeight="1" x14ac:dyDescent="0.2">
      <c r="A661" s="17">
        <v>981</v>
      </c>
      <c r="B661" s="57" t="s">
        <v>153</v>
      </c>
    </row>
    <row r="662" spans="1:2" ht="14.25" customHeight="1" x14ac:dyDescent="0.2">
      <c r="A662" s="17">
        <v>982</v>
      </c>
      <c r="B662" s="57" t="s">
        <v>920</v>
      </c>
    </row>
    <row r="663" spans="1:2" ht="14.25" customHeight="1" x14ac:dyDescent="0.2">
      <c r="A663" s="17">
        <v>983</v>
      </c>
      <c r="B663" s="57" t="s">
        <v>880</v>
      </c>
    </row>
    <row r="664" spans="1:2" ht="14.25" customHeight="1" x14ac:dyDescent="0.2">
      <c r="A664" s="17">
        <v>984</v>
      </c>
      <c r="B664" s="57" t="s">
        <v>784</v>
      </c>
    </row>
    <row r="665" spans="1:2" ht="14.25" customHeight="1" x14ac:dyDescent="0.2">
      <c r="A665" s="17">
        <v>985</v>
      </c>
      <c r="B665" s="57" t="s">
        <v>1023</v>
      </c>
    </row>
    <row r="666" spans="1:2" ht="14.25" customHeight="1" x14ac:dyDescent="0.2">
      <c r="A666" s="17">
        <v>986</v>
      </c>
      <c r="B666" s="57" t="s">
        <v>959</v>
      </c>
    </row>
    <row r="667" spans="1:2" ht="14.25" customHeight="1" x14ac:dyDescent="0.2">
      <c r="A667" s="17">
        <v>987</v>
      </c>
      <c r="B667" s="57" t="s">
        <v>739</v>
      </c>
    </row>
    <row r="668" spans="1:2" ht="14.25" customHeight="1" x14ac:dyDescent="0.2">
      <c r="A668" s="17">
        <v>988</v>
      </c>
      <c r="B668" s="57" t="s">
        <v>190</v>
      </c>
    </row>
    <row r="669" spans="1:2" ht="14.25" customHeight="1" x14ac:dyDescent="0.2">
      <c r="A669" s="17">
        <v>989</v>
      </c>
      <c r="B669" s="57" t="s">
        <v>383</v>
      </c>
    </row>
    <row r="670" spans="1:2" ht="14.25" customHeight="1" x14ac:dyDescent="0.2">
      <c r="A670" s="17">
        <v>990</v>
      </c>
      <c r="B670" s="57" t="s">
        <v>59</v>
      </c>
    </row>
    <row r="671" spans="1:2" ht="14.25" customHeight="1" x14ac:dyDescent="0.2">
      <c r="A671" s="17">
        <v>991</v>
      </c>
      <c r="B671" s="57" t="s">
        <v>415</v>
      </c>
    </row>
    <row r="672" spans="1:2" ht="14.25" customHeight="1" x14ac:dyDescent="0.2">
      <c r="A672" s="17">
        <v>992</v>
      </c>
      <c r="B672" s="57" t="s">
        <v>161</v>
      </c>
    </row>
    <row r="673" spans="1:2" ht="14.25" customHeight="1" x14ac:dyDescent="0.2">
      <c r="A673" s="17">
        <v>993</v>
      </c>
      <c r="B673" s="57" t="s">
        <v>1018</v>
      </c>
    </row>
    <row r="674" spans="1:2" ht="14.25" customHeight="1" x14ac:dyDescent="0.2">
      <c r="A674" s="17">
        <v>993</v>
      </c>
      <c r="B674" s="57" t="s">
        <v>19</v>
      </c>
    </row>
    <row r="675" spans="1:2" ht="14.25" customHeight="1" x14ac:dyDescent="0.2">
      <c r="A675" s="17">
        <v>993</v>
      </c>
      <c r="B675" s="57" t="s">
        <v>16</v>
      </c>
    </row>
    <row r="676" spans="1:2" ht="14.25" customHeight="1" x14ac:dyDescent="0.2">
      <c r="A676" s="17">
        <v>994</v>
      </c>
      <c r="B676" s="57" t="s">
        <v>1004</v>
      </c>
    </row>
    <row r="677" spans="1:2" ht="14.25" customHeight="1" x14ac:dyDescent="0.2">
      <c r="A677" s="17">
        <v>995</v>
      </c>
      <c r="B677" s="57" t="s">
        <v>120</v>
      </c>
    </row>
    <row r="678" spans="1:2" ht="14.25" customHeight="1" x14ac:dyDescent="0.2">
      <c r="A678" s="17">
        <v>996</v>
      </c>
      <c r="B678" s="57" t="s">
        <v>618</v>
      </c>
    </row>
    <row r="679" spans="1:2" ht="14.25" customHeight="1" x14ac:dyDescent="0.2">
      <c r="A679" s="17">
        <v>997</v>
      </c>
      <c r="B679" s="57" t="s">
        <v>427</v>
      </c>
    </row>
    <row r="680" spans="1:2" ht="14.25" customHeight="1" x14ac:dyDescent="0.2">
      <c r="A680" s="17">
        <v>998</v>
      </c>
      <c r="B680" s="57" t="s">
        <v>740</v>
      </c>
    </row>
    <row r="681" spans="1:2" ht="14.25" customHeight="1" x14ac:dyDescent="0.2">
      <c r="A681" s="17">
        <v>999</v>
      </c>
      <c r="B681" s="57" t="s">
        <v>376</v>
      </c>
    </row>
    <row r="682" spans="1:2" ht="14.25" customHeight="1" x14ac:dyDescent="0.2">
      <c r="A682" s="17">
        <v>1000</v>
      </c>
      <c r="B682" s="57" t="s">
        <v>965</v>
      </c>
    </row>
    <row r="683" spans="1:2" ht="14.25" customHeight="1" x14ac:dyDescent="0.2">
      <c r="A683" s="17">
        <v>1001</v>
      </c>
      <c r="B683" s="57" t="s">
        <v>263</v>
      </c>
    </row>
    <row r="684" spans="1:2" ht="14.25" customHeight="1" x14ac:dyDescent="0.2">
      <c r="A684" s="17">
        <v>1002</v>
      </c>
      <c r="B684" s="57" t="s">
        <v>90</v>
      </c>
    </row>
    <row r="685" spans="1:2" ht="14.25" customHeight="1" x14ac:dyDescent="0.2">
      <c r="A685" s="17">
        <v>1003</v>
      </c>
      <c r="B685" s="57" t="s">
        <v>503</v>
      </c>
    </row>
    <row r="686" spans="1:2" ht="14.25" customHeight="1" x14ac:dyDescent="0.2">
      <c r="A686" s="17">
        <v>1004</v>
      </c>
      <c r="B686" s="57" t="s">
        <v>96</v>
      </c>
    </row>
    <row r="687" spans="1:2" ht="14.25" customHeight="1" x14ac:dyDescent="0.2">
      <c r="A687" s="17">
        <v>1005</v>
      </c>
      <c r="B687" s="57" t="s">
        <v>923</v>
      </c>
    </row>
    <row r="688" spans="1:2" ht="14.25" customHeight="1" x14ac:dyDescent="0.2">
      <c r="A688" s="17">
        <v>1006</v>
      </c>
      <c r="B688" s="57" t="s">
        <v>991</v>
      </c>
    </row>
    <row r="689" spans="1:2" ht="14.25" customHeight="1" x14ac:dyDescent="0.2">
      <c r="A689" s="17">
        <v>1007</v>
      </c>
      <c r="B689" s="57" t="s">
        <v>347</v>
      </c>
    </row>
    <row r="690" spans="1:2" ht="14.25" customHeight="1" x14ac:dyDescent="0.2">
      <c r="A690" s="17">
        <v>1008</v>
      </c>
      <c r="B690" s="57" t="s">
        <v>442</v>
      </c>
    </row>
    <row r="691" spans="1:2" ht="14.25" customHeight="1" x14ac:dyDescent="0.2">
      <c r="A691" s="17">
        <v>1009</v>
      </c>
      <c r="B691" s="57" t="s">
        <v>993</v>
      </c>
    </row>
    <row r="692" spans="1:2" ht="14.25" customHeight="1" x14ac:dyDescent="0.2">
      <c r="A692" s="17">
        <v>1010</v>
      </c>
      <c r="B692" s="57" t="s">
        <v>277</v>
      </c>
    </row>
    <row r="693" spans="1:2" ht="14.25" customHeight="1" x14ac:dyDescent="0.2">
      <c r="A693" s="17">
        <v>1011</v>
      </c>
      <c r="B693" s="57" t="s">
        <v>53</v>
      </c>
    </row>
    <row r="694" spans="1:2" ht="14.25" customHeight="1" x14ac:dyDescent="0.2">
      <c r="A694" s="17">
        <v>1012</v>
      </c>
      <c r="B694" s="57" t="s">
        <v>702</v>
      </c>
    </row>
    <row r="695" spans="1:2" ht="14.25" customHeight="1" x14ac:dyDescent="0.2">
      <c r="A695" s="17">
        <v>1013</v>
      </c>
      <c r="B695" s="57" t="s">
        <v>169</v>
      </c>
    </row>
    <row r="696" spans="1:2" ht="14.25" customHeight="1" x14ac:dyDescent="0.2">
      <c r="A696" s="17">
        <v>1014</v>
      </c>
      <c r="B696" s="57" t="s">
        <v>625</v>
      </c>
    </row>
    <row r="697" spans="1:2" ht="14.25" customHeight="1" x14ac:dyDescent="0.2">
      <c r="A697" s="17">
        <v>1015</v>
      </c>
      <c r="B697" s="57" t="s">
        <v>46</v>
      </c>
    </row>
    <row r="698" spans="1:2" ht="14.25" customHeight="1" x14ac:dyDescent="0.2">
      <c r="A698" s="17">
        <v>1016</v>
      </c>
      <c r="B698" s="57" t="s">
        <v>850</v>
      </c>
    </row>
    <row r="699" spans="1:2" ht="14.25" customHeight="1" x14ac:dyDescent="0.2">
      <c r="A699" s="17">
        <v>1017</v>
      </c>
      <c r="B699" s="57" t="s">
        <v>163</v>
      </c>
    </row>
    <row r="700" spans="1:2" ht="14.25" customHeight="1" x14ac:dyDescent="0.2">
      <c r="A700" s="17">
        <v>1018</v>
      </c>
      <c r="B700" s="57" t="s">
        <v>902</v>
      </c>
    </row>
    <row r="701" spans="1:2" ht="14.25" customHeight="1" x14ac:dyDescent="0.2">
      <c r="A701" s="17">
        <v>1019</v>
      </c>
      <c r="B701" s="57" t="s">
        <v>966</v>
      </c>
    </row>
    <row r="702" spans="1:2" ht="14.25" customHeight="1" x14ac:dyDescent="0.2">
      <c r="A702" s="17">
        <v>1020</v>
      </c>
      <c r="B702" s="57" t="s">
        <v>87</v>
      </c>
    </row>
    <row r="703" spans="1:2" ht="14.25" customHeight="1" x14ac:dyDescent="0.2">
      <c r="A703" s="17">
        <v>1020</v>
      </c>
      <c r="B703" s="57" t="s">
        <v>92</v>
      </c>
    </row>
    <row r="704" spans="1:2" ht="14.25" customHeight="1" x14ac:dyDescent="0.2">
      <c r="A704" s="17">
        <v>1021</v>
      </c>
      <c r="B704" s="57" t="s">
        <v>542</v>
      </c>
    </row>
    <row r="705" spans="1:2" ht="14.25" customHeight="1" x14ac:dyDescent="0.2">
      <c r="A705" s="17">
        <v>1022</v>
      </c>
      <c r="B705" s="57" t="s">
        <v>132</v>
      </c>
    </row>
    <row r="706" spans="1:2" ht="14.25" customHeight="1" x14ac:dyDescent="0.2">
      <c r="A706" s="17">
        <v>1023</v>
      </c>
      <c r="B706" s="57" t="s">
        <v>816</v>
      </c>
    </row>
    <row r="707" spans="1:2" ht="14.25" customHeight="1" x14ac:dyDescent="0.2">
      <c r="A707" s="17">
        <v>1024</v>
      </c>
      <c r="B707" s="57" t="s">
        <v>342</v>
      </c>
    </row>
    <row r="708" spans="1:2" ht="14.25" customHeight="1" x14ac:dyDescent="0.2">
      <c r="A708" s="17">
        <v>1025</v>
      </c>
      <c r="B708" s="57" t="s">
        <v>817</v>
      </c>
    </row>
    <row r="709" spans="1:2" ht="14.25" customHeight="1" x14ac:dyDescent="0.2">
      <c r="A709" s="17">
        <v>1026</v>
      </c>
      <c r="B709" s="57" t="s">
        <v>948</v>
      </c>
    </row>
    <row r="710" spans="1:2" ht="14.25" customHeight="1" x14ac:dyDescent="0.2">
      <c r="A710" s="17">
        <v>1028</v>
      </c>
      <c r="B710" s="57" t="s">
        <v>627</v>
      </c>
    </row>
    <row r="711" spans="1:2" ht="14.25" customHeight="1" x14ac:dyDescent="0.2">
      <c r="A711" s="17">
        <v>1029</v>
      </c>
      <c r="B711" s="57" t="s">
        <v>944</v>
      </c>
    </row>
    <row r="712" spans="1:2" ht="14.25" customHeight="1" x14ac:dyDescent="0.2">
      <c r="A712" s="17">
        <v>1030</v>
      </c>
      <c r="B712" s="57" t="s">
        <v>951</v>
      </c>
    </row>
    <row r="713" spans="1:2" ht="14.25" customHeight="1" x14ac:dyDescent="0.2">
      <c r="A713" s="17">
        <v>1031</v>
      </c>
      <c r="B713" s="57" t="s">
        <v>511</v>
      </c>
    </row>
    <row r="714" spans="1:2" ht="14.25" customHeight="1" x14ac:dyDescent="0.2">
      <c r="A714" s="17">
        <v>1032</v>
      </c>
      <c r="B714" s="57" t="s">
        <v>810</v>
      </c>
    </row>
    <row r="715" spans="1:2" ht="14.25" customHeight="1" x14ac:dyDescent="0.2">
      <c r="A715" s="17">
        <v>1033</v>
      </c>
      <c r="B715" s="57" t="s">
        <v>942</v>
      </c>
    </row>
    <row r="716" spans="1:2" ht="14.25" customHeight="1" x14ac:dyDescent="0.2">
      <c r="A716" s="17">
        <v>1034</v>
      </c>
      <c r="B716" s="57" t="s">
        <v>441</v>
      </c>
    </row>
    <row r="717" spans="1:2" ht="14.25" customHeight="1" x14ac:dyDescent="0.2">
      <c r="A717" s="17">
        <v>1035</v>
      </c>
      <c r="B717" s="57" t="s">
        <v>855</v>
      </c>
    </row>
    <row r="718" spans="1:2" ht="14.25" customHeight="1" x14ac:dyDescent="0.2">
      <c r="A718" s="17">
        <v>1036</v>
      </c>
      <c r="B718" s="57" t="s">
        <v>830</v>
      </c>
    </row>
    <row r="719" spans="1:2" ht="14.25" customHeight="1" x14ac:dyDescent="0.2">
      <c r="A719" s="17">
        <v>1037</v>
      </c>
      <c r="B719" s="57" t="s">
        <v>924</v>
      </c>
    </row>
    <row r="720" spans="1:2" ht="14.25" customHeight="1" x14ac:dyDescent="0.2">
      <c r="A720" s="17">
        <v>1038</v>
      </c>
      <c r="B720" s="57" t="s">
        <v>569</v>
      </c>
    </row>
    <row r="721" spans="1:2" ht="14.25" customHeight="1" x14ac:dyDescent="0.2">
      <c r="A721" s="17">
        <v>1039</v>
      </c>
      <c r="B721" s="57" t="s">
        <v>320</v>
      </c>
    </row>
    <row r="722" spans="1:2" ht="14.25" customHeight="1" x14ac:dyDescent="0.2">
      <c r="A722" s="17">
        <v>1040</v>
      </c>
      <c r="B722" s="57" t="s">
        <v>955</v>
      </c>
    </row>
    <row r="723" spans="1:2" ht="14.25" customHeight="1" x14ac:dyDescent="0.2">
      <c r="A723" s="17">
        <v>1041</v>
      </c>
      <c r="B723" s="57" t="s">
        <v>984</v>
      </c>
    </row>
    <row r="724" spans="1:2" ht="14.25" customHeight="1" x14ac:dyDescent="0.2">
      <c r="A724" s="17">
        <v>1042</v>
      </c>
      <c r="B724" s="57" t="s">
        <v>687</v>
      </c>
    </row>
    <row r="725" spans="1:2" ht="14.25" customHeight="1" x14ac:dyDescent="0.2">
      <c r="A725" s="17">
        <v>1043</v>
      </c>
      <c r="B725" s="57" t="s">
        <v>25</v>
      </c>
    </row>
    <row r="726" spans="1:2" ht="14.25" customHeight="1" x14ac:dyDescent="0.2">
      <c r="A726" s="17">
        <v>1044</v>
      </c>
      <c r="B726" s="57" t="s">
        <v>230</v>
      </c>
    </row>
    <row r="727" spans="1:2" ht="14.25" customHeight="1" x14ac:dyDescent="0.2">
      <c r="A727" s="17">
        <v>1045</v>
      </c>
      <c r="B727" s="57" t="s">
        <v>306</v>
      </c>
    </row>
    <row r="728" spans="1:2" ht="14.25" customHeight="1" x14ac:dyDescent="0.2">
      <c r="A728" s="17">
        <v>1046</v>
      </c>
      <c r="B728" s="57" t="s">
        <v>80</v>
      </c>
    </row>
    <row r="729" spans="1:2" ht="14.25" customHeight="1" x14ac:dyDescent="0.2">
      <c r="A729" s="17">
        <v>1047</v>
      </c>
      <c r="B729" s="57" t="s">
        <v>516</v>
      </c>
    </row>
    <row r="730" spans="1:2" ht="14.25" customHeight="1" x14ac:dyDescent="0.2">
      <c r="A730" s="17">
        <v>1048</v>
      </c>
      <c r="B730" s="57" t="s">
        <v>848</v>
      </c>
    </row>
    <row r="731" spans="1:2" ht="14.25" customHeight="1" x14ac:dyDescent="0.2">
      <c r="A731" s="17">
        <v>1049</v>
      </c>
      <c r="B731" s="57" t="s">
        <v>974</v>
      </c>
    </row>
    <row r="732" spans="1:2" ht="14.25" customHeight="1" x14ac:dyDescent="0.2">
      <c r="A732" s="17">
        <v>1050</v>
      </c>
      <c r="B732" s="57" t="s">
        <v>748</v>
      </c>
    </row>
    <row r="733" spans="1:2" ht="14.25" customHeight="1" x14ac:dyDescent="0.2">
      <c r="A733" s="17">
        <v>1051</v>
      </c>
      <c r="B733" s="57" t="s">
        <v>527</v>
      </c>
    </row>
    <row r="734" spans="1:2" ht="14.25" customHeight="1" x14ac:dyDescent="0.2">
      <c r="A734" s="17">
        <v>1052</v>
      </c>
      <c r="B734" s="57" t="s">
        <v>247</v>
      </c>
    </row>
    <row r="735" spans="1:2" ht="14.25" customHeight="1" x14ac:dyDescent="0.2">
      <c r="A735" s="17">
        <v>1053</v>
      </c>
      <c r="B735" s="57" t="s">
        <v>897</v>
      </c>
    </row>
    <row r="736" spans="1:2" ht="14.25" customHeight="1" x14ac:dyDescent="0.2">
      <c r="A736" s="17">
        <v>1054</v>
      </c>
      <c r="B736" s="57" t="s">
        <v>889</v>
      </c>
    </row>
    <row r="737" spans="1:2" ht="14.25" customHeight="1" x14ac:dyDescent="0.2">
      <c r="A737" s="17">
        <v>1055</v>
      </c>
      <c r="B737" s="57" t="s">
        <v>301</v>
      </c>
    </row>
    <row r="738" spans="1:2" ht="14.25" customHeight="1" x14ac:dyDescent="0.2">
      <c r="A738" s="17">
        <v>1056</v>
      </c>
      <c r="B738" s="57" t="s">
        <v>478</v>
      </c>
    </row>
    <row r="739" spans="1:2" ht="14.25" customHeight="1" x14ac:dyDescent="0.2">
      <c r="A739" s="17">
        <v>1057</v>
      </c>
      <c r="B739" s="57" t="s">
        <v>109</v>
      </c>
    </row>
    <row r="740" spans="1:2" ht="14.25" customHeight="1" x14ac:dyDescent="0.2">
      <c r="A740" s="17">
        <v>1058</v>
      </c>
      <c r="B740" s="57" t="s">
        <v>1193</v>
      </c>
    </row>
    <row r="741" spans="1:2" ht="14.25" customHeight="1" x14ac:dyDescent="0.2">
      <c r="A741" s="17">
        <v>1059</v>
      </c>
      <c r="B741" s="57" t="s">
        <v>710</v>
      </c>
    </row>
    <row r="742" spans="1:2" ht="14.25" customHeight="1" x14ac:dyDescent="0.2">
      <c r="A742" s="17">
        <v>1060</v>
      </c>
      <c r="B742" s="57" t="s">
        <v>459</v>
      </c>
    </row>
    <row r="743" spans="1:2" ht="14.25" customHeight="1" x14ac:dyDescent="0.2">
      <c r="A743" s="17">
        <v>1061</v>
      </c>
      <c r="B743" s="57" t="s">
        <v>954</v>
      </c>
    </row>
    <row r="744" spans="1:2" ht="14.25" customHeight="1" x14ac:dyDescent="0.2">
      <c r="A744" s="17">
        <v>1062</v>
      </c>
      <c r="B744" s="57" t="s">
        <v>327</v>
      </c>
    </row>
    <row r="745" spans="1:2" ht="14.25" customHeight="1" x14ac:dyDescent="0.2">
      <c r="A745" s="17">
        <v>1062</v>
      </c>
      <c r="B745" s="57" t="s">
        <v>336</v>
      </c>
    </row>
    <row r="746" spans="1:2" ht="14.25" customHeight="1" x14ac:dyDescent="0.2">
      <c r="A746" s="17">
        <v>1063</v>
      </c>
      <c r="B746" s="57" t="s">
        <v>268</v>
      </c>
    </row>
    <row r="747" spans="1:2" ht="14.25" customHeight="1" x14ac:dyDescent="0.2">
      <c r="A747" s="17">
        <v>1064</v>
      </c>
      <c r="B747" s="57" t="s">
        <v>513</v>
      </c>
    </row>
    <row r="748" spans="1:2" ht="14.25" customHeight="1" x14ac:dyDescent="0.2">
      <c r="A748" s="17">
        <v>1065</v>
      </c>
      <c r="B748" s="57" t="s">
        <v>930</v>
      </c>
    </row>
    <row r="749" spans="1:2" ht="14.25" customHeight="1" x14ac:dyDescent="0.2">
      <c r="A749" s="17">
        <v>1065</v>
      </c>
      <c r="B749" s="57" t="s">
        <v>931</v>
      </c>
    </row>
    <row r="750" spans="1:2" ht="14.25" customHeight="1" x14ac:dyDescent="0.2">
      <c r="A750" s="17">
        <v>1066</v>
      </c>
      <c r="B750" s="57" t="s">
        <v>397</v>
      </c>
    </row>
    <row r="751" spans="1:2" ht="14.25" customHeight="1" x14ac:dyDescent="0.2">
      <c r="A751" s="17">
        <v>1067</v>
      </c>
      <c r="B751" s="57" t="s">
        <v>353</v>
      </c>
    </row>
    <row r="752" spans="1:2" ht="14.25" customHeight="1" x14ac:dyDescent="0.2">
      <c r="A752" s="17">
        <v>1068</v>
      </c>
      <c r="B752" s="57" t="s">
        <v>140</v>
      </c>
    </row>
    <row r="753" spans="1:2" ht="14.25" customHeight="1" x14ac:dyDescent="0.2">
      <c r="A753" s="17">
        <v>1069</v>
      </c>
      <c r="B753" s="57" t="s">
        <v>62</v>
      </c>
    </row>
    <row r="754" spans="1:2" ht="14.25" customHeight="1" x14ac:dyDescent="0.2">
      <c r="A754" s="17">
        <v>1070</v>
      </c>
      <c r="B754" s="57" t="s">
        <v>105</v>
      </c>
    </row>
    <row r="755" spans="1:2" ht="14.25" customHeight="1" x14ac:dyDescent="0.2">
      <c r="A755" s="17">
        <v>1071</v>
      </c>
      <c r="B755" s="57" t="s">
        <v>128</v>
      </c>
    </row>
    <row r="756" spans="1:2" ht="14.25" customHeight="1" x14ac:dyDescent="0.2">
      <c r="A756" s="17">
        <v>1072</v>
      </c>
      <c r="B756" s="57" t="s">
        <v>642</v>
      </c>
    </row>
    <row r="757" spans="1:2" ht="14.25" customHeight="1" x14ac:dyDescent="0.2">
      <c r="A757" s="17">
        <v>1073</v>
      </c>
      <c r="B757" s="57" t="s">
        <v>465</v>
      </c>
    </row>
    <row r="758" spans="1:2" ht="14.25" customHeight="1" x14ac:dyDescent="0.2">
      <c r="A758" s="17">
        <v>1074</v>
      </c>
      <c r="B758" s="57" t="s">
        <v>416</v>
      </c>
    </row>
    <row r="759" spans="1:2" ht="14.25" customHeight="1" x14ac:dyDescent="0.2">
      <c r="A759" s="17">
        <v>1075</v>
      </c>
      <c r="B759" s="57" t="s">
        <v>357</v>
      </c>
    </row>
    <row r="760" spans="1:2" ht="14.25" customHeight="1" x14ac:dyDescent="0.2">
      <c r="A760" s="17">
        <v>1076</v>
      </c>
      <c r="B760" s="57" t="s">
        <v>898</v>
      </c>
    </row>
    <row r="761" spans="1:2" ht="14.25" customHeight="1" x14ac:dyDescent="0.2">
      <c r="A761" s="17">
        <v>1077</v>
      </c>
      <c r="B761" s="57" t="s">
        <v>433</v>
      </c>
    </row>
    <row r="762" spans="1:2" ht="14.25" customHeight="1" x14ac:dyDescent="0.2">
      <c r="A762" s="17">
        <v>1078</v>
      </c>
      <c r="B762" s="57" t="s">
        <v>285</v>
      </c>
    </row>
    <row r="763" spans="1:2" ht="14.25" customHeight="1" x14ac:dyDescent="0.2">
      <c r="A763" s="17">
        <v>1079</v>
      </c>
      <c r="B763" s="57" t="s">
        <v>684</v>
      </c>
    </row>
    <row r="764" spans="1:2" ht="14.25" customHeight="1" x14ac:dyDescent="0.2">
      <c r="A764" s="17">
        <v>1080</v>
      </c>
      <c r="B764" s="57" t="s">
        <v>229</v>
      </c>
    </row>
    <row r="765" spans="1:2" ht="14.25" customHeight="1" x14ac:dyDescent="0.2">
      <c r="A765" s="17">
        <v>1081</v>
      </c>
      <c r="B765" s="57" t="s">
        <v>381</v>
      </c>
    </row>
    <row r="766" spans="1:2" ht="14.25" customHeight="1" x14ac:dyDescent="0.2">
      <c r="A766" s="17">
        <v>1082</v>
      </c>
      <c r="B766" s="57" t="s">
        <v>592</v>
      </c>
    </row>
    <row r="767" spans="1:2" ht="14.25" customHeight="1" x14ac:dyDescent="0.2">
      <c r="A767" s="17">
        <v>1083</v>
      </c>
      <c r="B767" s="57" t="s">
        <v>286</v>
      </c>
    </row>
    <row r="768" spans="1:2" ht="14.25" customHeight="1" x14ac:dyDescent="0.2">
      <c r="A768" s="17">
        <v>1084</v>
      </c>
      <c r="B768" s="57" t="s">
        <v>97</v>
      </c>
    </row>
    <row r="769" spans="1:2" ht="14.25" customHeight="1" x14ac:dyDescent="0.2">
      <c r="A769" s="17">
        <v>1085</v>
      </c>
      <c r="B769" s="57" t="s">
        <v>842</v>
      </c>
    </row>
    <row r="770" spans="1:2" ht="14.25" customHeight="1" x14ac:dyDescent="0.2">
      <c r="A770" s="17">
        <v>1087</v>
      </c>
      <c r="B770" s="57" t="s">
        <v>375</v>
      </c>
    </row>
    <row r="771" spans="1:2" ht="14.25" customHeight="1" x14ac:dyDescent="0.2">
      <c r="A771" s="17">
        <v>1088</v>
      </c>
      <c r="B771" s="57" t="s">
        <v>317</v>
      </c>
    </row>
    <row r="772" spans="1:2" ht="14.25" customHeight="1" x14ac:dyDescent="0.2">
      <c r="A772" s="17">
        <v>1089</v>
      </c>
      <c r="B772" s="57" t="s">
        <v>302</v>
      </c>
    </row>
    <row r="773" spans="1:2" ht="14.25" customHeight="1" x14ac:dyDescent="0.2">
      <c r="A773" s="17">
        <v>1090</v>
      </c>
      <c r="B773" s="57" t="s">
        <v>543</v>
      </c>
    </row>
    <row r="774" spans="1:2" ht="14.25" customHeight="1" x14ac:dyDescent="0.2">
      <c r="A774" s="17">
        <v>1091</v>
      </c>
      <c r="B774" s="57" t="s">
        <v>438</v>
      </c>
    </row>
    <row r="775" spans="1:2" ht="14.25" customHeight="1" x14ac:dyDescent="0.2">
      <c r="A775" s="17">
        <v>1092</v>
      </c>
      <c r="B775" s="57" t="s">
        <v>847</v>
      </c>
    </row>
    <row r="776" spans="1:2" ht="14.25" customHeight="1" x14ac:dyDescent="0.2">
      <c r="A776" s="17">
        <v>1093</v>
      </c>
      <c r="B776" s="57" t="s">
        <v>498</v>
      </c>
    </row>
    <row r="777" spans="1:2" ht="14.25" customHeight="1" x14ac:dyDescent="0.2">
      <c r="A777" s="17">
        <v>1094</v>
      </c>
      <c r="B777" s="57" t="s">
        <v>821</v>
      </c>
    </row>
    <row r="778" spans="1:2" ht="14.25" customHeight="1" x14ac:dyDescent="0.2">
      <c r="A778" s="17">
        <v>1096</v>
      </c>
      <c r="B778" s="57" t="s">
        <v>608</v>
      </c>
    </row>
    <row r="779" spans="1:2" ht="14.25" customHeight="1" x14ac:dyDescent="0.2">
      <c r="A779" s="17">
        <v>1097</v>
      </c>
      <c r="B779" s="57" t="s">
        <v>925</v>
      </c>
    </row>
    <row r="780" spans="1:2" ht="14.25" customHeight="1" x14ac:dyDescent="0.2">
      <c r="A780" s="17">
        <v>1098</v>
      </c>
      <c r="B780" s="57" t="s">
        <v>451</v>
      </c>
    </row>
    <row r="781" spans="1:2" ht="14.25" customHeight="1" x14ac:dyDescent="0.2">
      <c r="A781" s="17">
        <v>1099</v>
      </c>
      <c r="B781" s="57" t="s">
        <v>43</v>
      </c>
    </row>
    <row r="782" spans="1:2" ht="14.25" customHeight="1" x14ac:dyDescent="0.2">
      <c r="A782" s="17">
        <v>1100</v>
      </c>
      <c r="B782" s="57" t="s">
        <v>500</v>
      </c>
    </row>
    <row r="783" spans="1:2" ht="14.25" customHeight="1" x14ac:dyDescent="0.2">
      <c r="A783" s="17">
        <v>1101</v>
      </c>
      <c r="B783" s="57" t="s">
        <v>770</v>
      </c>
    </row>
    <row r="784" spans="1:2" ht="14.25" customHeight="1" x14ac:dyDescent="0.2">
      <c r="A784" s="17">
        <v>1103</v>
      </c>
      <c r="B784" s="57" t="s">
        <v>982</v>
      </c>
    </row>
    <row r="785" spans="1:2" ht="14.25" customHeight="1" x14ac:dyDescent="0.2">
      <c r="A785" s="17">
        <v>1104</v>
      </c>
      <c r="B785" s="57" t="s">
        <v>714</v>
      </c>
    </row>
    <row r="786" spans="1:2" ht="14.25" customHeight="1" x14ac:dyDescent="0.2">
      <c r="A786" s="17">
        <v>1105</v>
      </c>
      <c r="B786" s="57" t="s">
        <v>581</v>
      </c>
    </row>
    <row r="787" spans="1:2" ht="14.25" customHeight="1" x14ac:dyDescent="0.2">
      <c r="A787" s="17">
        <v>1105</v>
      </c>
      <c r="B787" s="57" t="s">
        <v>583</v>
      </c>
    </row>
    <row r="788" spans="1:2" ht="14.25" customHeight="1" x14ac:dyDescent="0.2">
      <c r="A788" s="17">
        <v>1106</v>
      </c>
      <c r="B788" s="57" t="s">
        <v>389</v>
      </c>
    </row>
    <row r="789" spans="1:2" ht="14.25" customHeight="1" x14ac:dyDescent="0.2">
      <c r="A789" s="17">
        <v>1107</v>
      </c>
      <c r="B789" s="57" t="s">
        <v>436</v>
      </c>
    </row>
    <row r="790" spans="1:2" ht="14.25" customHeight="1" x14ac:dyDescent="0.2">
      <c r="A790" s="17">
        <v>1108</v>
      </c>
      <c r="B790" s="57" t="s">
        <v>210</v>
      </c>
    </row>
    <row r="791" spans="1:2" ht="14.25" customHeight="1" x14ac:dyDescent="0.2">
      <c r="A791" s="17">
        <v>1109</v>
      </c>
      <c r="B791" s="57" t="s">
        <v>801</v>
      </c>
    </row>
    <row r="792" spans="1:2" ht="14.25" customHeight="1" x14ac:dyDescent="0.2">
      <c r="A792" s="17">
        <v>1110</v>
      </c>
      <c r="B792" s="57" t="s">
        <v>374</v>
      </c>
    </row>
    <row r="793" spans="1:2" ht="14.25" customHeight="1" x14ac:dyDescent="0.2">
      <c r="A793" s="17">
        <v>1111</v>
      </c>
      <c r="B793" s="57" t="s">
        <v>741</v>
      </c>
    </row>
    <row r="794" spans="1:2" ht="14.25" customHeight="1" x14ac:dyDescent="0.2">
      <c r="A794" s="17">
        <v>1112</v>
      </c>
      <c r="B794" s="57" t="s">
        <v>884</v>
      </c>
    </row>
    <row r="795" spans="1:2" ht="14.25" customHeight="1" x14ac:dyDescent="0.2">
      <c r="A795" s="17">
        <v>1113</v>
      </c>
      <c r="B795" s="57" t="s">
        <v>701</v>
      </c>
    </row>
    <row r="796" spans="1:2" ht="14.25" customHeight="1" x14ac:dyDescent="0.2">
      <c r="A796" s="17">
        <v>1114</v>
      </c>
      <c r="B796" s="57" t="s">
        <v>343</v>
      </c>
    </row>
    <row r="797" spans="1:2" ht="14.25" customHeight="1" x14ac:dyDescent="0.2">
      <c r="A797" s="17">
        <v>1115</v>
      </c>
      <c r="B797" s="57" t="s">
        <v>186</v>
      </c>
    </row>
    <row r="798" spans="1:2" ht="14.25" customHeight="1" x14ac:dyDescent="0.2">
      <c r="A798" s="17">
        <v>1116</v>
      </c>
      <c r="B798" s="57" t="s">
        <v>804</v>
      </c>
    </row>
    <row r="799" spans="1:2" ht="14.25" customHeight="1" x14ac:dyDescent="0.2">
      <c r="A799" s="17">
        <v>1117</v>
      </c>
      <c r="B799" s="57" t="s">
        <v>589</v>
      </c>
    </row>
    <row r="800" spans="1:2" ht="14.25" customHeight="1" x14ac:dyDescent="0.2">
      <c r="A800" s="17">
        <v>1118</v>
      </c>
      <c r="B800" s="57" t="s">
        <v>81</v>
      </c>
    </row>
    <row r="801" spans="1:2" ht="14.25" customHeight="1" x14ac:dyDescent="0.2">
      <c r="A801" s="17">
        <v>1119</v>
      </c>
      <c r="B801" s="57" t="s">
        <v>605</v>
      </c>
    </row>
    <row r="802" spans="1:2" ht="14.25" customHeight="1" x14ac:dyDescent="0.2">
      <c r="A802" s="17">
        <v>1120</v>
      </c>
      <c r="B802" s="57" t="s">
        <v>921</v>
      </c>
    </row>
    <row r="803" spans="1:2" ht="14.25" customHeight="1" x14ac:dyDescent="0.2">
      <c r="A803" s="17">
        <v>1121</v>
      </c>
      <c r="B803" s="57" t="s">
        <v>807</v>
      </c>
    </row>
    <row r="804" spans="1:2" ht="14.25" customHeight="1" x14ac:dyDescent="0.2">
      <c r="A804" s="17">
        <v>1122</v>
      </c>
      <c r="B804" s="57" t="s">
        <v>975</v>
      </c>
    </row>
    <row r="805" spans="1:2" ht="14.25" customHeight="1" x14ac:dyDescent="0.2">
      <c r="A805" s="17">
        <v>1123</v>
      </c>
      <c r="B805" s="57" t="s">
        <v>844</v>
      </c>
    </row>
    <row r="806" spans="1:2" ht="14.25" customHeight="1" x14ac:dyDescent="0.2">
      <c r="A806" s="17">
        <v>1124</v>
      </c>
      <c r="B806" s="57" t="s">
        <v>617</v>
      </c>
    </row>
    <row r="807" spans="1:2" ht="14.25" customHeight="1" x14ac:dyDescent="0.2">
      <c r="A807" s="17">
        <v>1125</v>
      </c>
      <c r="B807" s="57" t="s">
        <v>515</v>
      </c>
    </row>
    <row r="808" spans="1:2" ht="14.25" customHeight="1" x14ac:dyDescent="0.2">
      <c r="A808" s="17">
        <v>1126</v>
      </c>
      <c r="B808" s="57" t="s">
        <v>575</v>
      </c>
    </row>
    <row r="809" spans="1:2" ht="14.25" customHeight="1" x14ac:dyDescent="0.2">
      <c r="A809" s="17">
        <v>1127</v>
      </c>
      <c r="B809" s="57" t="s">
        <v>519</v>
      </c>
    </row>
    <row r="810" spans="1:2" ht="14.25" customHeight="1" x14ac:dyDescent="0.2">
      <c r="A810" s="17">
        <v>1128</v>
      </c>
      <c r="B810" s="57" t="s">
        <v>411</v>
      </c>
    </row>
    <row r="811" spans="1:2" ht="14.25" customHeight="1" x14ac:dyDescent="0.2">
      <c r="A811" s="17">
        <v>1129</v>
      </c>
      <c r="B811" s="57" t="s">
        <v>462</v>
      </c>
    </row>
    <row r="812" spans="1:2" ht="14.25" customHeight="1" x14ac:dyDescent="0.2">
      <c r="A812" s="17">
        <v>1130</v>
      </c>
      <c r="B812" s="57" t="s">
        <v>998</v>
      </c>
    </row>
    <row r="813" spans="1:2" ht="14.25" customHeight="1" x14ac:dyDescent="0.2">
      <c r="A813" s="17">
        <v>1131</v>
      </c>
      <c r="B813" s="57" t="s">
        <v>834</v>
      </c>
    </row>
    <row r="814" spans="1:2" ht="14.25" customHeight="1" x14ac:dyDescent="0.2">
      <c r="A814" s="17">
        <v>1132</v>
      </c>
      <c r="B814" s="57" t="s">
        <v>321</v>
      </c>
    </row>
    <row r="815" spans="1:2" ht="14.25" customHeight="1" x14ac:dyDescent="0.2">
      <c r="A815" s="17">
        <v>1133</v>
      </c>
      <c r="B815" s="57" t="s">
        <v>699</v>
      </c>
    </row>
    <row r="816" spans="1:2" ht="14.25" customHeight="1" x14ac:dyDescent="0.2">
      <c r="A816" s="17">
        <v>1134</v>
      </c>
      <c r="B816" s="57" t="s">
        <v>937</v>
      </c>
    </row>
    <row r="817" spans="1:2" ht="14.25" customHeight="1" x14ac:dyDescent="0.2">
      <c r="A817" s="17">
        <v>1135</v>
      </c>
      <c r="B817" s="57" t="s">
        <v>294</v>
      </c>
    </row>
    <row r="818" spans="1:2" ht="14.25" customHeight="1" x14ac:dyDescent="0.2">
      <c r="A818" s="17">
        <v>1136</v>
      </c>
      <c r="B818" s="57" t="s">
        <v>450</v>
      </c>
    </row>
    <row r="819" spans="1:2" ht="14.25" customHeight="1" x14ac:dyDescent="0.2">
      <c r="A819" s="17">
        <v>1137</v>
      </c>
      <c r="B819" s="57" t="s">
        <v>1194</v>
      </c>
    </row>
    <row r="820" spans="1:2" ht="14.25" customHeight="1" x14ac:dyDescent="0.2">
      <c r="A820" s="17">
        <v>1138</v>
      </c>
      <c r="B820" s="57" t="s">
        <v>536</v>
      </c>
    </row>
    <row r="821" spans="1:2" ht="14.25" customHeight="1" x14ac:dyDescent="0.2">
      <c r="A821" s="17">
        <v>1139</v>
      </c>
      <c r="B821" s="57" t="s">
        <v>367</v>
      </c>
    </row>
    <row r="822" spans="1:2" ht="14.25" customHeight="1" x14ac:dyDescent="0.2">
      <c r="A822" s="17">
        <v>1140</v>
      </c>
      <c r="B822" s="57" t="s">
        <v>1024</v>
      </c>
    </row>
    <row r="823" spans="1:2" ht="14.25" customHeight="1" x14ac:dyDescent="0.2">
      <c r="A823" s="17">
        <v>1141</v>
      </c>
      <c r="B823" s="57" t="s">
        <v>602</v>
      </c>
    </row>
    <row r="824" spans="1:2" ht="14.25" customHeight="1" x14ac:dyDescent="0.2">
      <c r="A824" s="17">
        <v>1142</v>
      </c>
      <c r="B824" s="57" t="s">
        <v>1001</v>
      </c>
    </row>
    <row r="825" spans="1:2" ht="14.25" customHeight="1" x14ac:dyDescent="0.2">
      <c r="A825" s="17">
        <v>1143</v>
      </c>
      <c r="B825" s="57" t="s">
        <v>269</v>
      </c>
    </row>
    <row r="826" spans="1:2" ht="14.25" customHeight="1" x14ac:dyDescent="0.2">
      <c r="A826" s="17">
        <v>1144</v>
      </c>
      <c r="B826" s="57" t="s">
        <v>600</v>
      </c>
    </row>
    <row r="827" spans="1:2" ht="14.25" customHeight="1" x14ac:dyDescent="0.2">
      <c r="A827" s="17">
        <v>1145</v>
      </c>
      <c r="B827" s="57" t="s">
        <v>836</v>
      </c>
    </row>
    <row r="828" spans="1:2" ht="14.25" customHeight="1" x14ac:dyDescent="0.2">
      <c r="A828" s="17">
        <v>1146</v>
      </c>
      <c r="B828" s="57" t="s">
        <v>624</v>
      </c>
    </row>
    <row r="829" spans="1:2" ht="14.25" customHeight="1" x14ac:dyDescent="0.2">
      <c r="A829" s="17">
        <v>1147</v>
      </c>
      <c r="B829" s="57" t="s">
        <v>934</v>
      </c>
    </row>
    <row r="830" spans="1:2" ht="14.25" customHeight="1" x14ac:dyDescent="0.2">
      <c r="A830" s="17">
        <v>1148</v>
      </c>
      <c r="B830" s="57" t="s">
        <v>785</v>
      </c>
    </row>
    <row r="831" spans="1:2" ht="14.25" customHeight="1" x14ac:dyDescent="0.2">
      <c r="A831" s="17">
        <v>1149</v>
      </c>
      <c r="B831" s="57" t="s">
        <v>555</v>
      </c>
    </row>
    <row r="832" spans="1:2" ht="14.25" customHeight="1" x14ac:dyDescent="0.2">
      <c r="A832" s="17">
        <v>1150</v>
      </c>
      <c r="B832" s="57" t="s">
        <v>622</v>
      </c>
    </row>
    <row r="833" spans="1:2" ht="14.25" customHeight="1" x14ac:dyDescent="0.2">
      <c r="A833" s="17">
        <v>1151</v>
      </c>
      <c r="B833" s="57" t="s">
        <v>79</v>
      </c>
    </row>
    <row r="834" spans="1:2" ht="14.25" customHeight="1" x14ac:dyDescent="0.2">
      <c r="A834" s="17">
        <v>1152</v>
      </c>
      <c r="B834" s="57" t="s">
        <v>290</v>
      </c>
    </row>
    <row r="835" spans="1:2" ht="14.25" customHeight="1" x14ac:dyDescent="0.2">
      <c r="A835" s="17">
        <v>1153</v>
      </c>
      <c r="B835" s="57" t="s">
        <v>635</v>
      </c>
    </row>
    <row r="836" spans="1:2" ht="14.25" customHeight="1" x14ac:dyDescent="0.2">
      <c r="A836" s="17">
        <v>1154</v>
      </c>
      <c r="B836" s="57" t="s">
        <v>398</v>
      </c>
    </row>
    <row r="837" spans="1:2" ht="14.25" customHeight="1" x14ac:dyDescent="0.2">
      <c r="A837" s="17">
        <v>1155</v>
      </c>
      <c r="B837" s="57" t="s">
        <v>546</v>
      </c>
    </row>
    <row r="838" spans="1:2" ht="14.25" customHeight="1" x14ac:dyDescent="0.2">
      <c r="A838" s="17">
        <v>1156</v>
      </c>
      <c r="B838" s="57" t="s">
        <v>359</v>
      </c>
    </row>
    <row r="839" spans="1:2" ht="14.25" customHeight="1" x14ac:dyDescent="0.2">
      <c r="A839" s="17">
        <v>1157</v>
      </c>
      <c r="B839" s="57" t="s">
        <v>615</v>
      </c>
    </row>
    <row r="840" spans="1:2" ht="14.25" customHeight="1" x14ac:dyDescent="0.2">
      <c r="A840" s="17">
        <v>1158</v>
      </c>
      <c r="B840" s="57" t="s">
        <v>815</v>
      </c>
    </row>
    <row r="841" spans="1:2" ht="14.25" customHeight="1" x14ac:dyDescent="0.2">
      <c r="A841" s="17">
        <v>1161</v>
      </c>
      <c r="B841" s="57" t="s">
        <v>119</v>
      </c>
    </row>
    <row r="842" spans="1:2" ht="14.25" customHeight="1" x14ac:dyDescent="0.2">
      <c r="A842" s="17">
        <v>1162</v>
      </c>
      <c r="B842" s="57" t="s">
        <v>541</v>
      </c>
    </row>
    <row r="843" spans="1:2" ht="14.25" customHeight="1" x14ac:dyDescent="0.2">
      <c r="A843" s="17">
        <v>1163</v>
      </c>
      <c r="B843" s="57" t="s">
        <v>875</v>
      </c>
    </row>
    <row r="844" spans="1:2" ht="14.25" customHeight="1" x14ac:dyDescent="0.2">
      <c r="A844" s="17">
        <v>1164</v>
      </c>
      <c r="B844" s="57" t="s">
        <v>267</v>
      </c>
    </row>
    <row r="845" spans="1:2" ht="14.25" customHeight="1" x14ac:dyDescent="0.2">
      <c r="A845" s="17">
        <v>1165</v>
      </c>
      <c r="B845" s="57" t="s">
        <v>283</v>
      </c>
    </row>
    <row r="846" spans="1:2" ht="14.25" customHeight="1" x14ac:dyDescent="0.2">
      <c r="A846" s="17">
        <v>1173</v>
      </c>
      <c r="B846" s="57" t="s">
        <v>759</v>
      </c>
    </row>
    <row r="847" spans="1:2" ht="14.25" customHeight="1" x14ac:dyDescent="0.2">
      <c r="A847" s="17">
        <v>1174</v>
      </c>
      <c r="B847" s="57" t="s">
        <v>663</v>
      </c>
    </row>
    <row r="848" spans="1:2" ht="14.25" customHeight="1" x14ac:dyDescent="0.2">
      <c r="A848" s="17">
        <v>1176</v>
      </c>
      <c r="B848" s="57" t="s">
        <v>907</v>
      </c>
    </row>
    <row r="849" spans="1:2" ht="14.25" customHeight="1" x14ac:dyDescent="0.2">
      <c r="A849" s="17">
        <v>1183</v>
      </c>
      <c r="B849" s="57" t="s">
        <v>385</v>
      </c>
    </row>
    <row r="850" spans="1:2" ht="14.25" customHeight="1" x14ac:dyDescent="0.2">
      <c r="A850" s="17">
        <v>1184</v>
      </c>
      <c r="B850" s="57" t="s">
        <v>143</v>
      </c>
    </row>
    <row r="851" spans="1:2" ht="14.25" customHeight="1" x14ac:dyDescent="0.2">
      <c r="A851" s="17">
        <v>1188</v>
      </c>
      <c r="B851" s="57" t="s">
        <v>300</v>
      </c>
    </row>
    <row r="852" spans="1:2" ht="14.25" customHeight="1" x14ac:dyDescent="0.2">
      <c r="A852" s="17">
        <v>1189</v>
      </c>
      <c r="B852" s="57" t="s">
        <v>121</v>
      </c>
    </row>
    <row r="853" spans="1:2" ht="14.25" customHeight="1" x14ac:dyDescent="0.2">
      <c r="A853" s="17">
        <v>1190</v>
      </c>
      <c r="B853" s="57" t="s">
        <v>303</v>
      </c>
    </row>
    <row r="854" spans="1:2" ht="14.25" customHeight="1" x14ac:dyDescent="0.2">
      <c r="A854" s="17">
        <v>1191</v>
      </c>
      <c r="B854" s="57" t="s">
        <v>945</v>
      </c>
    </row>
    <row r="855" spans="1:2" ht="14.25" customHeight="1" x14ac:dyDescent="0.2">
      <c r="A855" s="17">
        <v>1192</v>
      </c>
      <c r="B855" s="57" t="s">
        <v>877</v>
      </c>
    </row>
    <row r="856" spans="1:2" ht="14.25" customHeight="1" x14ac:dyDescent="0.2">
      <c r="A856" s="17">
        <v>1193</v>
      </c>
      <c r="B856" s="57" t="s">
        <v>878</v>
      </c>
    </row>
    <row r="857" spans="1:2" ht="14.25" customHeight="1" x14ac:dyDescent="0.2">
      <c r="A857" s="17">
        <v>1195</v>
      </c>
      <c r="B857" s="57" t="s">
        <v>653</v>
      </c>
    </row>
    <row r="858" spans="1:2" ht="14.25" customHeight="1" x14ac:dyDescent="0.2">
      <c r="A858" s="17">
        <v>1196</v>
      </c>
      <c r="B858" s="57" t="s">
        <v>769</v>
      </c>
    </row>
    <row r="859" spans="1:2" ht="14.25" customHeight="1" x14ac:dyDescent="0.2">
      <c r="A859" s="17">
        <v>1197</v>
      </c>
      <c r="B859" s="57" t="s">
        <v>460</v>
      </c>
    </row>
    <row r="860" spans="1:2" ht="14.25" customHeight="1" x14ac:dyDescent="0.2">
      <c r="A860" s="17">
        <v>1199</v>
      </c>
      <c r="B860" s="57" t="s">
        <v>166</v>
      </c>
    </row>
    <row r="861" spans="1:2" ht="14.25" customHeight="1" x14ac:dyDescent="0.2">
      <c r="A861" s="17">
        <v>1200</v>
      </c>
      <c r="B861" s="57" t="s">
        <v>345</v>
      </c>
    </row>
    <row r="862" spans="1:2" ht="14.25" customHeight="1" x14ac:dyDescent="0.2">
      <c r="A862" s="17">
        <v>1201</v>
      </c>
      <c r="B862" s="57" t="s">
        <v>68</v>
      </c>
    </row>
    <row r="863" spans="1:2" ht="14.25" customHeight="1" x14ac:dyDescent="0.2">
      <c r="A863" s="17">
        <v>1202</v>
      </c>
      <c r="B863" s="57" t="s">
        <v>666</v>
      </c>
    </row>
    <row r="864" spans="1:2" ht="14.25" customHeight="1" x14ac:dyDescent="0.2">
      <c r="A864" s="17">
        <v>1203</v>
      </c>
      <c r="B864" s="57" t="s">
        <v>137</v>
      </c>
    </row>
    <row r="865" spans="1:2" ht="14.25" customHeight="1" x14ac:dyDescent="0.2">
      <c r="A865" s="17">
        <v>1205</v>
      </c>
      <c r="B865" s="57" t="s">
        <v>156</v>
      </c>
    </row>
    <row r="866" spans="1:2" ht="14.25" customHeight="1" x14ac:dyDescent="0.2">
      <c r="A866" s="17">
        <v>1207</v>
      </c>
      <c r="B866" s="57" t="s">
        <v>464</v>
      </c>
    </row>
    <row r="867" spans="1:2" ht="14.25" customHeight="1" x14ac:dyDescent="0.2">
      <c r="A867" s="17">
        <v>1208</v>
      </c>
      <c r="B867" s="57" t="s">
        <v>141</v>
      </c>
    </row>
    <row r="868" spans="1:2" ht="14.25" customHeight="1" x14ac:dyDescent="0.2">
      <c r="A868" s="17">
        <v>1211</v>
      </c>
      <c r="B868" s="57" t="s">
        <v>613</v>
      </c>
    </row>
    <row r="869" spans="1:2" ht="14.25" customHeight="1" x14ac:dyDescent="0.2">
      <c r="A869" s="17">
        <v>1212</v>
      </c>
      <c r="B869" s="57" t="s">
        <v>992</v>
      </c>
    </row>
    <row r="870" spans="1:2" ht="14.25" customHeight="1" x14ac:dyDescent="0.2">
      <c r="A870" s="17">
        <v>1215</v>
      </c>
      <c r="B870" s="57" t="s">
        <v>63</v>
      </c>
    </row>
    <row r="871" spans="1:2" ht="14.25" customHeight="1" x14ac:dyDescent="0.2">
      <c r="A871" s="17">
        <v>1216</v>
      </c>
      <c r="B871" s="57" t="s">
        <v>985</v>
      </c>
    </row>
    <row r="872" spans="1:2" ht="14.25" customHeight="1" x14ac:dyDescent="0.2">
      <c r="A872" s="17">
        <v>1217</v>
      </c>
      <c r="B872" s="57" t="s">
        <v>671</v>
      </c>
    </row>
    <row r="873" spans="1:2" ht="14.25" customHeight="1" x14ac:dyDescent="0.2">
      <c r="A873" s="17">
        <v>1218</v>
      </c>
      <c r="B873" s="57" t="s">
        <v>248</v>
      </c>
    </row>
    <row r="874" spans="1:2" ht="14.25" customHeight="1" x14ac:dyDescent="0.2">
      <c r="A874" s="17">
        <v>1219</v>
      </c>
      <c r="B874" s="57" t="s">
        <v>414</v>
      </c>
    </row>
    <row r="875" spans="1:2" ht="14.25" customHeight="1" x14ac:dyDescent="0.2">
      <c r="A875" s="19">
        <v>1220</v>
      </c>
      <c r="B875" s="57" t="s">
        <v>1037</v>
      </c>
    </row>
    <row r="876" spans="1:2" ht="14.25" customHeight="1" x14ac:dyDescent="0.2">
      <c r="A876" s="17">
        <v>1221</v>
      </c>
      <c r="B876" s="57" t="s">
        <v>1197</v>
      </c>
    </row>
    <row r="877" spans="1:2" ht="14.25" customHeight="1" x14ac:dyDescent="0.2">
      <c r="A877" s="17">
        <v>1222</v>
      </c>
      <c r="B877" s="57" t="s">
        <v>58</v>
      </c>
    </row>
    <row r="878" spans="1:2" ht="14.25" customHeight="1" x14ac:dyDescent="0.2">
      <c r="A878" s="17">
        <v>1223</v>
      </c>
      <c r="B878" s="57" t="s">
        <v>522</v>
      </c>
    </row>
    <row r="879" spans="1:2" ht="14.25" customHeight="1" x14ac:dyDescent="0.2">
      <c r="A879" s="17">
        <v>1224</v>
      </c>
      <c r="B879" s="57" t="s">
        <v>20</v>
      </c>
    </row>
    <row r="880" spans="1:2" ht="14.25" customHeight="1" x14ac:dyDescent="0.2">
      <c r="A880" s="17">
        <v>1225</v>
      </c>
      <c r="B880" s="57" t="s">
        <v>1008</v>
      </c>
    </row>
    <row r="881" spans="1:2" ht="14.25" customHeight="1" x14ac:dyDescent="0.2">
      <c r="A881" s="17">
        <v>1229</v>
      </c>
      <c r="B881" s="57" t="s">
        <v>151</v>
      </c>
    </row>
    <row r="882" spans="1:2" ht="14.25" customHeight="1" x14ac:dyDescent="0.2">
      <c r="A882" s="17">
        <v>1230</v>
      </c>
      <c r="B882" s="57" t="s">
        <v>85</v>
      </c>
    </row>
    <row r="883" spans="1:2" ht="14.25" customHeight="1" x14ac:dyDescent="0.2">
      <c r="A883" s="17">
        <v>1231</v>
      </c>
      <c r="B883" s="57" t="s">
        <v>562</v>
      </c>
    </row>
    <row r="884" spans="1:2" ht="14.25" customHeight="1" x14ac:dyDescent="0.2">
      <c r="A884" s="17">
        <v>1232</v>
      </c>
      <c r="B884" s="57" t="s">
        <v>873</v>
      </c>
    </row>
    <row r="885" spans="1:2" ht="14.25" customHeight="1" x14ac:dyDescent="0.2">
      <c r="A885" s="17">
        <v>1235</v>
      </c>
      <c r="B885" s="57" t="s">
        <v>420</v>
      </c>
    </row>
    <row r="886" spans="1:2" ht="14.25" customHeight="1" x14ac:dyDescent="0.2">
      <c r="A886" s="17">
        <v>1236</v>
      </c>
      <c r="B886" s="57" t="s">
        <v>912</v>
      </c>
    </row>
    <row r="887" spans="1:2" ht="14.25" customHeight="1" x14ac:dyDescent="0.2">
      <c r="A887" s="17">
        <v>1237</v>
      </c>
      <c r="B887" s="57" t="s">
        <v>819</v>
      </c>
    </row>
    <row r="888" spans="1:2" ht="14.25" customHeight="1" x14ac:dyDescent="0.2">
      <c r="A888" s="17">
        <v>1240</v>
      </c>
      <c r="B888" s="57" t="s">
        <v>705</v>
      </c>
    </row>
    <row r="889" spans="1:2" ht="14.25" customHeight="1" x14ac:dyDescent="0.2">
      <c r="A889" s="17">
        <v>1241</v>
      </c>
      <c r="B889" s="57" t="s">
        <v>535</v>
      </c>
    </row>
    <row r="890" spans="1:2" ht="14.25" customHeight="1" x14ac:dyDescent="0.2">
      <c r="A890" s="17">
        <v>1242</v>
      </c>
      <c r="B890" s="57" t="s">
        <v>1196</v>
      </c>
    </row>
    <row r="891" spans="1:2" ht="14.25" customHeight="1" x14ac:dyDescent="0.2">
      <c r="A891" s="17">
        <v>1247</v>
      </c>
      <c r="B891" s="57" t="s">
        <v>102</v>
      </c>
    </row>
    <row r="892" spans="1:2" ht="14.25" customHeight="1" x14ac:dyDescent="0.2">
      <c r="A892" s="17">
        <v>1248</v>
      </c>
      <c r="B892" s="57" t="s">
        <v>633</v>
      </c>
    </row>
    <row r="893" spans="1:2" ht="14.25" customHeight="1" x14ac:dyDescent="0.2">
      <c r="A893" s="17">
        <v>1248</v>
      </c>
      <c r="B893" s="57" t="s">
        <v>665</v>
      </c>
    </row>
    <row r="894" spans="1:2" ht="14.25" customHeight="1" x14ac:dyDescent="0.2">
      <c r="A894" s="17">
        <v>1249</v>
      </c>
      <c r="B894" s="57" t="s">
        <v>655</v>
      </c>
    </row>
    <row r="895" spans="1:2" ht="14.25" customHeight="1" x14ac:dyDescent="0.2">
      <c r="A895" s="17">
        <v>1250</v>
      </c>
      <c r="B895" s="57" t="s">
        <v>479</v>
      </c>
    </row>
    <row r="896" spans="1:2" ht="14.25" customHeight="1" x14ac:dyDescent="0.2">
      <c r="A896" s="17">
        <v>1253</v>
      </c>
      <c r="B896" s="57" t="s">
        <v>316</v>
      </c>
    </row>
    <row r="897" spans="1:2" ht="14.25" customHeight="1" x14ac:dyDescent="0.2">
      <c r="A897" s="17">
        <v>1256</v>
      </c>
      <c r="B897" s="57" t="s">
        <v>961</v>
      </c>
    </row>
    <row r="898" spans="1:2" ht="14.25" customHeight="1" x14ac:dyDescent="0.2">
      <c r="A898" s="17">
        <v>1257</v>
      </c>
      <c r="B898" s="57" t="s">
        <v>318</v>
      </c>
    </row>
    <row r="899" spans="1:2" ht="14.25" customHeight="1" x14ac:dyDescent="0.2">
      <c r="A899" s="17">
        <v>1259</v>
      </c>
      <c r="B899" s="57" t="s">
        <v>160</v>
      </c>
    </row>
    <row r="900" spans="1:2" ht="14.25" customHeight="1" x14ac:dyDescent="0.2">
      <c r="A900" s="17">
        <v>1260</v>
      </c>
      <c r="B900" s="57" t="s">
        <v>309</v>
      </c>
    </row>
    <row r="901" spans="1:2" ht="14.25" customHeight="1" x14ac:dyDescent="0.2">
      <c r="A901" s="17">
        <v>1262</v>
      </c>
      <c r="B901" s="57" t="s">
        <v>686</v>
      </c>
    </row>
    <row r="902" spans="1:2" ht="14.25" customHeight="1" x14ac:dyDescent="0.2">
      <c r="A902" s="17">
        <v>1263</v>
      </c>
      <c r="B902" s="57" t="s">
        <v>312</v>
      </c>
    </row>
    <row r="903" spans="1:2" ht="14.25" customHeight="1" x14ac:dyDescent="0.2">
      <c r="A903" s="17">
        <v>1264</v>
      </c>
      <c r="B903" s="57" t="s">
        <v>853</v>
      </c>
    </row>
    <row r="904" spans="1:2" ht="14.25" customHeight="1" x14ac:dyDescent="0.2">
      <c r="A904" s="17">
        <v>1265</v>
      </c>
      <c r="B904" s="57" t="s">
        <v>284</v>
      </c>
    </row>
    <row r="905" spans="1:2" ht="14.25" customHeight="1" x14ac:dyDescent="0.2">
      <c r="A905" s="17">
        <v>1266</v>
      </c>
      <c r="B905" s="57" t="s">
        <v>1035</v>
      </c>
    </row>
    <row r="906" spans="1:2" ht="14.25" customHeight="1" x14ac:dyDescent="0.2">
      <c r="A906" s="17">
        <v>1268</v>
      </c>
      <c r="B906" s="57" t="s">
        <v>620</v>
      </c>
    </row>
    <row r="907" spans="1:2" ht="14.25" customHeight="1" x14ac:dyDescent="0.2">
      <c r="A907" s="17">
        <v>1270</v>
      </c>
      <c r="B907" s="57" t="s">
        <v>147</v>
      </c>
    </row>
    <row r="908" spans="1:2" ht="14.25" customHeight="1" x14ac:dyDescent="0.2">
      <c r="A908" s="17">
        <v>1272</v>
      </c>
      <c r="B908" s="57" t="s">
        <v>756</v>
      </c>
    </row>
    <row r="909" spans="1:2" ht="14.25" customHeight="1" x14ac:dyDescent="0.2">
      <c r="A909" s="17">
        <v>1274</v>
      </c>
      <c r="B909" s="57" t="s">
        <v>305</v>
      </c>
    </row>
    <row r="910" spans="1:2" ht="14.25" customHeight="1" x14ac:dyDescent="0.2">
      <c r="A910" s="17">
        <v>1275</v>
      </c>
      <c r="B910" s="57" t="s">
        <v>130</v>
      </c>
    </row>
    <row r="911" spans="1:2" ht="14.25" customHeight="1" x14ac:dyDescent="0.2">
      <c r="A911" s="17">
        <v>1276</v>
      </c>
      <c r="B911" s="57" t="s">
        <v>795</v>
      </c>
    </row>
    <row r="912" spans="1:2" ht="14.25" customHeight="1" x14ac:dyDescent="0.2">
      <c r="A912" s="17">
        <v>1276</v>
      </c>
      <c r="B912" s="57" t="s">
        <v>796</v>
      </c>
    </row>
    <row r="913" spans="1:2" ht="14.25" customHeight="1" x14ac:dyDescent="0.2">
      <c r="A913" s="17">
        <v>1278</v>
      </c>
      <c r="B913" s="57" t="s">
        <v>566</v>
      </c>
    </row>
    <row r="914" spans="1:2" ht="14.25" customHeight="1" x14ac:dyDescent="0.2">
      <c r="A914" s="17">
        <v>1279</v>
      </c>
      <c r="B914" s="57" t="s">
        <v>111</v>
      </c>
    </row>
    <row r="915" spans="1:2" ht="14.25" customHeight="1" x14ac:dyDescent="0.2">
      <c r="A915" s="17">
        <v>1280</v>
      </c>
      <c r="B915" s="57" t="s">
        <v>809</v>
      </c>
    </row>
    <row r="916" spans="1:2" ht="14.25" customHeight="1" x14ac:dyDescent="0.2">
      <c r="A916" s="17">
        <v>1281</v>
      </c>
      <c r="B916" s="57" t="s">
        <v>390</v>
      </c>
    </row>
    <row r="917" spans="1:2" ht="14.25" customHeight="1" x14ac:dyDescent="0.2">
      <c r="A917" s="17">
        <v>1282</v>
      </c>
      <c r="B917" s="57" t="s">
        <v>138</v>
      </c>
    </row>
    <row r="918" spans="1:2" ht="14.25" customHeight="1" x14ac:dyDescent="0.2">
      <c r="A918" s="17">
        <v>1284</v>
      </c>
      <c r="B918" s="57" t="s">
        <v>616</v>
      </c>
    </row>
    <row r="919" spans="1:2" ht="14.25" customHeight="1" x14ac:dyDescent="0.2">
      <c r="A919" s="17">
        <v>1284</v>
      </c>
      <c r="B919" s="57" t="s">
        <v>646</v>
      </c>
    </row>
    <row r="920" spans="1:2" ht="14.25" customHeight="1" x14ac:dyDescent="0.2">
      <c r="A920" s="17">
        <v>1285</v>
      </c>
      <c r="B920" s="57" t="s">
        <v>744</v>
      </c>
    </row>
    <row r="921" spans="1:2" ht="14.25" customHeight="1" x14ac:dyDescent="0.2">
      <c r="A921" s="17">
        <v>1286</v>
      </c>
      <c r="B921" s="57" t="s">
        <v>914</v>
      </c>
    </row>
    <row r="922" spans="1:2" ht="14.25" customHeight="1" x14ac:dyDescent="0.2">
      <c r="A922" s="17">
        <v>1287</v>
      </c>
      <c r="B922" s="57" t="s">
        <v>134</v>
      </c>
    </row>
    <row r="923" spans="1:2" ht="14.25" customHeight="1" x14ac:dyDescent="0.2">
      <c r="A923" s="17">
        <v>1288</v>
      </c>
      <c r="B923" s="57" t="s">
        <v>432</v>
      </c>
    </row>
    <row r="924" spans="1:2" ht="14.25" customHeight="1" x14ac:dyDescent="0.2">
      <c r="A924" s="17">
        <v>1289</v>
      </c>
      <c r="B924" s="57" t="s">
        <v>753</v>
      </c>
    </row>
    <row r="925" spans="1:2" ht="14.25" customHeight="1" x14ac:dyDescent="0.2">
      <c r="A925" s="17">
        <v>1290</v>
      </c>
      <c r="B925" s="57" t="s">
        <v>429</v>
      </c>
    </row>
    <row r="926" spans="1:2" ht="14.25" customHeight="1" x14ac:dyDescent="0.2">
      <c r="A926" s="17">
        <v>1291</v>
      </c>
      <c r="B926" s="57" t="s">
        <v>682</v>
      </c>
    </row>
    <row r="927" spans="1:2" ht="14.25" customHeight="1" x14ac:dyDescent="0.2">
      <c r="A927" s="17">
        <v>1294</v>
      </c>
      <c r="B927" s="57" t="s">
        <v>107</v>
      </c>
    </row>
    <row r="928" spans="1:2" ht="14.25" customHeight="1" x14ac:dyDescent="0.2">
      <c r="A928" s="17">
        <v>1295</v>
      </c>
      <c r="B928" s="57" t="s">
        <v>399</v>
      </c>
    </row>
    <row r="929" spans="1:2" ht="14.25" customHeight="1" x14ac:dyDescent="0.2">
      <c r="A929" s="17">
        <v>1296</v>
      </c>
      <c r="B929" s="57" t="s">
        <v>752</v>
      </c>
    </row>
    <row r="930" spans="1:2" ht="14.25" customHeight="1" x14ac:dyDescent="0.2">
      <c r="A930" s="17">
        <v>1297</v>
      </c>
      <c r="B930" s="57" t="s">
        <v>437</v>
      </c>
    </row>
    <row r="931" spans="1:2" ht="14.25" customHeight="1" x14ac:dyDescent="0.2">
      <c r="A931" s="17">
        <v>1298</v>
      </c>
      <c r="B931" s="57" t="s">
        <v>495</v>
      </c>
    </row>
    <row r="932" spans="1:2" ht="14.25" customHeight="1" x14ac:dyDescent="0.2">
      <c r="A932" s="17">
        <v>1299</v>
      </c>
      <c r="B932" s="57" t="s">
        <v>1195</v>
      </c>
    </row>
    <row r="933" spans="1:2" ht="14.25" customHeight="1" x14ac:dyDescent="0.2">
      <c r="A933" s="17">
        <v>1300</v>
      </c>
      <c r="B933" s="57" t="s">
        <v>668</v>
      </c>
    </row>
    <row r="934" spans="1:2" ht="14.25" customHeight="1" x14ac:dyDescent="0.2">
      <c r="A934" s="17">
        <v>1301</v>
      </c>
      <c r="B934" s="57" t="s">
        <v>101</v>
      </c>
    </row>
    <row r="935" spans="1:2" ht="14.25" customHeight="1" x14ac:dyDescent="0.2">
      <c r="A935" s="17">
        <v>1302</v>
      </c>
      <c r="B935" s="57" t="s">
        <v>313</v>
      </c>
    </row>
    <row r="936" spans="1:2" ht="14.25" customHeight="1" x14ac:dyDescent="0.2">
      <c r="A936" s="17">
        <v>1304</v>
      </c>
      <c r="B936" s="57" t="s">
        <v>407</v>
      </c>
    </row>
    <row r="937" spans="1:2" ht="14.25" customHeight="1" x14ac:dyDescent="0.2">
      <c r="A937" s="17">
        <v>1305</v>
      </c>
      <c r="B937" s="57" t="s">
        <v>730</v>
      </c>
    </row>
    <row r="938" spans="1:2" ht="14.25" customHeight="1" x14ac:dyDescent="0.2">
      <c r="A938" s="17">
        <v>1306</v>
      </c>
      <c r="B938" s="57" t="s">
        <v>791</v>
      </c>
    </row>
    <row r="939" spans="1:2" ht="14.25" customHeight="1" x14ac:dyDescent="0.2">
      <c r="A939" s="17">
        <v>1313</v>
      </c>
      <c r="B939" s="57" t="s">
        <v>762</v>
      </c>
    </row>
    <row r="940" spans="1:2" ht="14.25" customHeight="1" x14ac:dyDescent="0.2">
      <c r="A940" s="17">
        <v>1316</v>
      </c>
      <c r="B940" s="57" t="s">
        <v>439</v>
      </c>
    </row>
    <row r="941" spans="1:2" ht="14.25" customHeight="1" x14ac:dyDescent="0.2">
      <c r="A941" s="17">
        <v>1317</v>
      </c>
      <c r="B941" s="57" t="s">
        <v>510</v>
      </c>
    </row>
    <row r="942" spans="1:2" ht="14.25" customHeight="1" x14ac:dyDescent="0.2">
      <c r="A942" s="17">
        <v>1318</v>
      </c>
      <c r="B942" s="57" t="s">
        <v>173</v>
      </c>
    </row>
    <row r="943" spans="1:2" ht="14.25" customHeight="1" x14ac:dyDescent="0.2">
      <c r="A943" s="17">
        <v>1319</v>
      </c>
      <c r="B943" s="57" t="s">
        <v>664</v>
      </c>
    </row>
    <row r="944" spans="1:2" ht="14.25" customHeight="1" x14ac:dyDescent="0.2">
      <c r="A944" s="17">
        <v>1320</v>
      </c>
      <c r="B944" s="57" t="s">
        <v>1013</v>
      </c>
    </row>
    <row r="945" spans="1:2" ht="14.25" customHeight="1" x14ac:dyDescent="0.2">
      <c r="A945" s="17">
        <v>1321</v>
      </c>
      <c r="B945" s="57" t="s">
        <v>408</v>
      </c>
    </row>
    <row r="946" spans="1:2" ht="14.25" customHeight="1" x14ac:dyDescent="0.2">
      <c r="A946" s="17">
        <v>1322</v>
      </c>
      <c r="B946" s="57" t="s">
        <v>692</v>
      </c>
    </row>
    <row r="947" spans="1:2" ht="14.25" customHeight="1" x14ac:dyDescent="0.2">
      <c r="A947" s="17">
        <v>1325</v>
      </c>
      <c r="B947" s="57" t="s">
        <v>52</v>
      </c>
    </row>
    <row r="948" spans="1:2" ht="14.25" customHeight="1" x14ac:dyDescent="0.2">
      <c r="A948" s="17">
        <v>1326</v>
      </c>
      <c r="B948" s="57" t="s">
        <v>876</v>
      </c>
    </row>
    <row r="949" spans="1:2" ht="14.25" customHeight="1" x14ac:dyDescent="0.2">
      <c r="A949" s="17">
        <v>1328</v>
      </c>
      <c r="B949" s="57" t="s">
        <v>477</v>
      </c>
    </row>
    <row r="950" spans="1:2" ht="14.25" customHeight="1" x14ac:dyDescent="0.2">
      <c r="A950" s="17">
        <v>1330</v>
      </c>
      <c r="B950" s="57" t="s">
        <v>391</v>
      </c>
    </row>
    <row r="951" spans="1:2" ht="14.25" customHeight="1" x14ac:dyDescent="0.2">
      <c r="A951" s="17">
        <v>1333</v>
      </c>
      <c r="B951" s="57" t="s">
        <v>704</v>
      </c>
    </row>
    <row r="952" spans="1:2" ht="14.25" customHeight="1" x14ac:dyDescent="0.2">
      <c r="A952" s="17">
        <v>1334</v>
      </c>
      <c r="B952" s="57" t="s">
        <v>886</v>
      </c>
    </row>
    <row r="953" spans="1:2" ht="14.25" customHeight="1" x14ac:dyDescent="0.2">
      <c r="A953" s="17">
        <v>1335</v>
      </c>
      <c r="B953" s="57" t="s">
        <v>771</v>
      </c>
    </row>
    <row r="954" spans="1:2" ht="14.25" customHeight="1" x14ac:dyDescent="0.2">
      <c r="A954" s="17">
        <v>1339</v>
      </c>
      <c r="B954" s="57" t="s">
        <v>250</v>
      </c>
    </row>
    <row r="955" spans="1:2" ht="14.25" customHeight="1" x14ac:dyDescent="0.2">
      <c r="A955" s="17">
        <v>1341</v>
      </c>
      <c r="B955" s="57" t="s">
        <v>238</v>
      </c>
    </row>
    <row r="956" spans="1:2" ht="14.25" customHeight="1" x14ac:dyDescent="0.2">
      <c r="A956" s="17">
        <v>1341</v>
      </c>
      <c r="B956" s="57" t="s">
        <v>858</v>
      </c>
    </row>
    <row r="957" spans="1:2" ht="14.25" customHeight="1" x14ac:dyDescent="0.2">
      <c r="A957" s="17">
        <v>1342</v>
      </c>
      <c r="B957" s="57" t="s">
        <v>813</v>
      </c>
    </row>
    <row r="958" spans="1:2" ht="14.25" customHeight="1" x14ac:dyDescent="0.2">
      <c r="A958" s="17">
        <v>1344</v>
      </c>
      <c r="B958" s="57" t="s">
        <v>64</v>
      </c>
    </row>
    <row r="959" spans="1:2" ht="14.25" customHeight="1" x14ac:dyDescent="0.2">
      <c r="A959" s="17">
        <v>1345</v>
      </c>
      <c r="B959" s="57" t="s">
        <v>832</v>
      </c>
    </row>
    <row r="960" spans="1:2" ht="14.25" customHeight="1" x14ac:dyDescent="0.2">
      <c r="A960" s="17">
        <v>1348</v>
      </c>
      <c r="B960" s="57" t="s">
        <v>798</v>
      </c>
    </row>
    <row r="961" spans="1:2" ht="14.25" customHeight="1" x14ac:dyDescent="0.2">
      <c r="A961" s="17">
        <v>1350</v>
      </c>
      <c r="B961" s="57" t="s">
        <v>829</v>
      </c>
    </row>
    <row r="962" spans="1:2" ht="14.25" customHeight="1" x14ac:dyDescent="0.2">
      <c r="A962" s="17">
        <v>1352</v>
      </c>
      <c r="B962" s="57" t="s">
        <v>372</v>
      </c>
    </row>
    <row r="963" spans="1:2" ht="14.25" customHeight="1" x14ac:dyDescent="0.2">
      <c r="A963" s="17">
        <v>1353</v>
      </c>
      <c r="B963" s="57" t="s">
        <v>833</v>
      </c>
    </row>
    <row r="964" spans="1:2" ht="14.25" customHeight="1" x14ac:dyDescent="0.2">
      <c r="A964" s="17">
        <v>1354</v>
      </c>
      <c r="B964" s="57" t="s">
        <v>638</v>
      </c>
    </row>
    <row r="965" spans="1:2" ht="14.25" customHeight="1" x14ac:dyDescent="0.2">
      <c r="A965" s="17">
        <v>1355</v>
      </c>
      <c r="B965" s="57" t="s">
        <v>329</v>
      </c>
    </row>
    <row r="966" spans="1:2" ht="14.25" customHeight="1" x14ac:dyDescent="0.2">
      <c r="A966" s="17">
        <v>1356</v>
      </c>
      <c r="B966" s="57" t="s">
        <v>241</v>
      </c>
    </row>
    <row r="967" spans="1:2" ht="14.25" customHeight="1" x14ac:dyDescent="0.2">
      <c r="A967" s="17">
        <v>1362</v>
      </c>
      <c r="B967" s="57" t="s">
        <v>131</v>
      </c>
    </row>
    <row r="968" spans="1:2" ht="14.25" customHeight="1" x14ac:dyDescent="0.2">
      <c r="A968" s="17">
        <v>1366</v>
      </c>
      <c r="B968" s="57" t="s">
        <v>51</v>
      </c>
    </row>
    <row r="969" spans="1:2" ht="14.25" customHeight="1" x14ac:dyDescent="0.2">
      <c r="A969" s="17">
        <v>1367</v>
      </c>
      <c r="B969" s="57" t="s">
        <v>428</v>
      </c>
    </row>
    <row r="970" spans="1:2" ht="14.25" customHeight="1" x14ac:dyDescent="0.2">
      <c r="A970" s="17">
        <v>1367</v>
      </c>
      <c r="B970" s="57" t="s">
        <v>722</v>
      </c>
    </row>
    <row r="971" spans="1:2" ht="14.25" customHeight="1" x14ac:dyDescent="0.2">
      <c r="A971" s="17">
        <v>1369</v>
      </c>
      <c r="B971" s="57" t="s">
        <v>960</v>
      </c>
    </row>
    <row r="972" spans="1:2" ht="14.25" customHeight="1" x14ac:dyDescent="0.2">
      <c r="A972" s="17">
        <v>1370</v>
      </c>
      <c r="B972" s="57" t="s">
        <v>964</v>
      </c>
    </row>
    <row r="973" spans="1:2" ht="14.25" customHeight="1" x14ac:dyDescent="0.2">
      <c r="A973" s="17">
        <v>1373</v>
      </c>
      <c r="B973" s="57" t="s">
        <v>690</v>
      </c>
    </row>
    <row r="974" spans="1:2" ht="14.25" customHeight="1" x14ac:dyDescent="0.2">
      <c r="A974" s="17">
        <v>1374</v>
      </c>
      <c r="B974" s="57" t="s">
        <v>94</v>
      </c>
    </row>
    <row r="975" spans="1:2" ht="14.25" customHeight="1" x14ac:dyDescent="0.2">
      <c r="A975" s="17">
        <v>1375</v>
      </c>
      <c r="B975" s="57" t="s">
        <v>579</v>
      </c>
    </row>
    <row r="976" spans="1:2" ht="14.25" customHeight="1" x14ac:dyDescent="0.2">
      <c r="A976" s="17">
        <v>1376</v>
      </c>
      <c r="B976" s="57" t="s">
        <v>814</v>
      </c>
    </row>
    <row r="977" spans="1:2" ht="14.25" customHeight="1" x14ac:dyDescent="0.2">
      <c r="A977" s="17">
        <v>1379</v>
      </c>
      <c r="B977" s="57" t="s">
        <v>695</v>
      </c>
    </row>
    <row r="978" spans="1:2" ht="14.25" customHeight="1" x14ac:dyDescent="0.2">
      <c r="A978" s="17">
        <v>1381</v>
      </c>
      <c r="B978" s="57" t="s">
        <v>824</v>
      </c>
    </row>
    <row r="979" spans="1:2" ht="14.25" customHeight="1" x14ac:dyDescent="0.2">
      <c r="A979" s="17">
        <v>1382</v>
      </c>
      <c r="B979" s="57" t="s">
        <v>145</v>
      </c>
    </row>
    <row r="980" spans="1:2" ht="14.25" customHeight="1" x14ac:dyDescent="0.2">
      <c r="A980" s="19">
        <v>1383</v>
      </c>
      <c r="B980" s="57" t="s">
        <v>1068</v>
      </c>
    </row>
    <row r="981" spans="1:2" ht="14.25" customHeight="1" x14ac:dyDescent="0.2">
      <c r="A981" s="17">
        <v>1385</v>
      </c>
      <c r="B981" s="57" t="s">
        <v>493</v>
      </c>
    </row>
    <row r="982" spans="1:2" ht="14.25" customHeight="1" x14ac:dyDescent="0.2">
      <c r="A982" s="17">
        <v>1386</v>
      </c>
      <c r="B982" s="57" t="s">
        <v>654</v>
      </c>
    </row>
    <row r="983" spans="1:2" ht="14.25" customHeight="1" x14ac:dyDescent="0.2">
      <c r="A983" s="17">
        <v>1390</v>
      </c>
      <c r="B983" s="57" t="s">
        <v>857</v>
      </c>
    </row>
    <row r="984" spans="1:2" ht="14.25" customHeight="1" x14ac:dyDescent="0.2">
      <c r="A984" s="17">
        <v>1391</v>
      </c>
      <c r="B984" s="57" t="s">
        <v>751</v>
      </c>
    </row>
    <row r="985" spans="1:2" ht="14.25" customHeight="1" x14ac:dyDescent="0.2">
      <c r="A985" s="17">
        <v>1392</v>
      </c>
      <c r="B985" s="57" t="s">
        <v>863</v>
      </c>
    </row>
    <row r="986" spans="1:2" ht="14.25" customHeight="1" x14ac:dyDescent="0.2">
      <c r="A986" s="17">
        <v>1393</v>
      </c>
      <c r="B986" s="57" t="s">
        <v>167</v>
      </c>
    </row>
    <row r="987" spans="1:2" ht="14.25" customHeight="1" x14ac:dyDescent="0.2">
      <c r="A987" s="17">
        <v>1394</v>
      </c>
      <c r="B987" s="57" t="s">
        <v>253</v>
      </c>
    </row>
    <row r="988" spans="1:2" ht="14.25" customHeight="1" x14ac:dyDescent="0.2">
      <c r="A988" s="17">
        <v>1395</v>
      </c>
      <c r="B988" s="57" t="s">
        <v>643</v>
      </c>
    </row>
    <row r="989" spans="1:2" ht="14.25" customHeight="1" x14ac:dyDescent="0.2">
      <c r="A989" s="17">
        <v>1397</v>
      </c>
      <c r="B989" s="57" t="s">
        <v>528</v>
      </c>
    </row>
    <row r="990" spans="1:2" ht="14.25" customHeight="1" x14ac:dyDescent="0.2">
      <c r="A990" s="17">
        <v>1399</v>
      </c>
      <c r="B990" s="57" t="s">
        <v>852</v>
      </c>
    </row>
    <row r="991" spans="1:2" ht="14.25" customHeight="1" x14ac:dyDescent="0.2">
      <c r="A991" s="17">
        <v>1400</v>
      </c>
      <c r="B991" s="57" t="s">
        <v>808</v>
      </c>
    </row>
    <row r="992" spans="1:2" ht="14.25" customHeight="1" x14ac:dyDescent="0.2">
      <c r="A992" s="17">
        <v>1402</v>
      </c>
      <c r="B992" s="57" t="s">
        <v>430</v>
      </c>
    </row>
    <row r="993" spans="1:2" ht="14.25" customHeight="1" x14ac:dyDescent="0.2">
      <c r="A993" s="17">
        <v>1403</v>
      </c>
      <c r="B993" s="57" t="s">
        <v>750</v>
      </c>
    </row>
    <row r="994" spans="1:2" ht="14.25" customHeight="1" x14ac:dyDescent="0.2">
      <c r="A994" s="17">
        <v>1404</v>
      </c>
      <c r="B994" s="57" t="s">
        <v>413</v>
      </c>
    </row>
    <row r="995" spans="1:2" ht="14.25" customHeight="1" x14ac:dyDescent="0.2">
      <c r="A995" s="19">
        <v>1405</v>
      </c>
      <c r="B995" s="58" t="s">
        <v>1044</v>
      </c>
    </row>
    <row r="996" spans="1:2" ht="14.25" customHeight="1" x14ac:dyDescent="0.2">
      <c r="A996" s="17">
        <v>1406</v>
      </c>
      <c r="B996" s="57" t="s">
        <v>508</v>
      </c>
    </row>
    <row r="997" spans="1:2" ht="14.25" customHeight="1" x14ac:dyDescent="0.2">
      <c r="A997" s="17">
        <v>1410</v>
      </c>
      <c r="B997" s="57" t="s">
        <v>764</v>
      </c>
    </row>
    <row r="998" spans="1:2" ht="14.25" customHeight="1" x14ac:dyDescent="0.2">
      <c r="A998" s="17">
        <v>1411</v>
      </c>
      <c r="B998" s="57" t="s">
        <v>48</v>
      </c>
    </row>
    <row r="999" spans="1:2" ht="14.25" customHeight="1" x14ac:dyDescent="0.2">
      <c r="A999" s="17">
        <v>1413</v>
      </c>
      <c r="B999" s="57" t="s">
        <v>157</v>
      </c>
    </row>
    <row r="1000" spans="1:2" ht="14.25" customHeight="1" x14ac:dyDescent="0.2">
      <c r="A1000" s="17">
        <v>1415</v>
      </c>
      <c r="B1000" s="57" t="s">
        <v>755</v>
      </c>
    </row>
    <row r="1001" spans="1:2" ht="14.25" customHeight="1" x14ac:dyDescent="0.2">
      <c r="A1001" s="17">
        <v>1416</v>
      </c>
      <c r="B1001" s="57" t="s">
        <v>532</v>
      </c>
    </row>
    <row r="1002" spans="1:2" ht="14.25" customHeight="1" x14ac:dyDescent="0.2">
      <c r="A1002" s="17">
        <v>1417</v>
      </c>
      <c r="B1002" s="57" t="s">
        <v>567</v>
      </c>
    </row>
    <row r="1003" spans="1:2" ht="14.25" customHeight="1" x14ac:dyDescent="0.2">
      <c r="A1003" s="17">
        <v>1419</v>
      </c>
      <c r="B1003" s="57" t="s">
        <v>661</v>
      </c>
    </row>
    <row r="1004" spans="1:2" ht="14.25" customHeight="1" x14ac:dyDescent="0.2">
      <c r="A1004" s="17">
        <v>1420</v>
      </c>
      <c r="B1004" s="57" t="s">
        <v>293</v>
      </c>
    </row>
    <row r="1005" spans="1:2" ht="14.25" customHeight="1" x14ac:dyDescent="0.2">
      <c r="A1005" s="17">
        <v>1421</v>
      </c>
      <c r="B1005" s="57" t="s">
        <v>909</v>
      </c>
    </row>
    <row r="1006" spans="1:2" ht="14.25" customHeight="1" x14ac:dyDescent="0.2">
      <c r="A1006" s="17">
        <v>1421</v>
      </c>
      <c r="B1006" s="57" t="s">
        <v>910</v>
      </c>
    </row>
    <row r="1007" spans="1:2" ht="14.25" customHeight="1" x14ac:dyDescent="0.2">
      <c r="A1007" s="17">
        <v>1422</v>
      </c>
      <c r="B1007" s="57" t="s">
        <v>607</v>
      </c>
    </row>
    <row r="1008" spans="1:2" ht="14.25" customHeight="1" x14ac:dyDescent="0.2">
      <c r="A1008" s="17">
        <v>1423</v>
      </c>
      <c r="B1008" s="57" t="s">
        <v>388</v>
      </c>
    </row>
    <row r="1009" spans="1:2" ht="14.25" customHeight="1" x14ac:dyDescent="0.2">
      <c r="A1009" s="17">
        <v>1424</v>
      </c>
      <c r="B1009" s="57" t="s">
        <v>174</v>
      </c>
    </row>
    <row r="1010" spans="1:2" ht="14.25" customHeight="1" x14ac:dyDescent="0.2">
      <c r="A1010" s="17">
        <v>1426</v>
      </c>
      <c r="B1010" s="57" t="s">
        <v>727</v>
      </c>
    </row>
    <row r="1011" spans="1:2" ht="14.25" customHeight="1" x14ac:dyDescent="0.2">
      <c r="A1011" s="17">
        <v>1427</v>
      </c>
      <c r="B1011" s="57" t="s">
        <v>860</v>
      </c>
    </row>
    <row r="1012" spans="1:2" ht="14.25" customHeight="1" x14ac:dyDescent="0.2">
      <c r="A1012" s="17">
        <v>1430</v>
      </c>
      <c r="B1012" s="57" t="s">
        <v>155</v>
      </c>
    </row>
    <row r="1013" spans="1:2" ht="14.25" customHeight="1" x14ac:dyDescent="0.2">
      <c r="A1013" s="17">
        <v>1433</v>
      </c>
      <c r="B1013" s="57" t="s">
        <v>1052</v>
      </c>
    </row>
    <row r="1014" spans="1:2" ht="14.25" customHeight="1" x14ac:dyDescent="0.2">
      <c r="A1014" s="17">
        <v>1436</v>
      </c>
      <c r="B1014" s="57" t="s">
        <v>314</v>
      </c>
    </row>
    <row r="1015" spans="1:2" ht="14.25" customHeight="1" x14ac:dyDescent="0.2">
      <c r="A1015" s="17">
        <v>1437</v>
      </c>
      <c r="B1015" s="57" t="s">
        <v>350</v>
      </c>
    </row>
    <row r="1016" spans="1:2" ht="14.25" customHeight="1" x14ac:dyDescent="0.2">
      <c r="A1016" s="17">
        <v>1438</v>
      </c>
      <c r="B1016" s="57" t="s">
        <v>772</v>
      </c>
    </row>
    <row r="1017" spans="1:2" ht="14.25" customHeight="1" x14ac:dyDescent="0.2">
      <c r="A1017" s="17">
        <v>1439</v>
      </c>
      <c r="B1017" s="57" t="s">
        <v>715</v>
      </c>
    </row>
    <row r="1018" spans="1:2" ht="14.25" customHeight="1" x14ac:dyDescent="0.2">
      <c r="A1018" s="17">
        <v>1441</v>
      </c>
      <c r="B1018" s="57" t="s">
        <v>725</v>
      </c>
    </row>
    <row r="1019" spans="1:2" ht="14.25" customHeight="1" x14ac:dyDescent="0.2">
      <c r="A1019" s="17">
        <v>1442</v>
      </c>
      <c r="B1019" s="57" t="s">
        <v>406</v>
      </c>
    </row>
    <row r="1020" spans="1:2" ht="14.25" customHeight="1" x14ac:dyDescent="0.2">
      <c r="A1020" s="17">
        <v>1444</v>
      </c>
      <c r="B1020" s="57" t="s">
        <v>802</v>
      </c>
    </row>
    <row r="1021" spans="1:2" ht="14.25" customHeight="1" x14ac:dyDescent="0.2">
      <c r="A1021" s="19">
        <v>1448</v>
      </c>
      <c r="B1021" s="58" t="s">
        <v>1083</v>
      </c>
    </row>
    <row r="1022" spans="1:2" ht="14.25" customHeight="1" x14ac:dyDescent="0.2">
      <c r="A1022" s="17">
        <v>1452</v>
      </c>
      <c r="B1022" s="57" t="s">
        <v>556</v>
      </c>
    </row>
    <row r="1023" spans="1:2" ht="14.25" customHeight="1" x14ac:dyDescent="0.2">
      <c r="A1023" s="17">
        <v>1453</v>
      </c>
      <c r="B1023" s="57" t="s">
        <v>1055</v>
      </c>
    </row>
    <row r="1024" spans="1:2" ht="14.25" customHeight="1" x14ac:dyDescent="0.2">
      <c r="A1024" s="17">
        <v>1455</v>
      </c>
      <c r="B1024" s="57" t="s">
        <v>308</v>
      </c>
    </row>
    <row r="1025" spans="1:2" ht="14.25" customHeight="1" x14ac:dyDescent="0.2">
      <c r="A1025" s="17">
        <v>1457</v>
      </c>
      <c r="B1025" s="57" t="s">
        <v>136</v>
      </c>
    </row>
    <row r="1026" spans="1:2" ht="14.25" customHeight="1" x14ac:dyDescent="0.2">
      <c r="A1026" s="17">
        <v>1458</v>
      </c>
      <c r="B1026" s="57" t="s">
        <v>448</v>
      </c>
    </row>
    <row r="1027" spans="1:2" ht="14.25" customHeight="1" x14ac:dyDescent="0.2">
      <c r="A1027" s="17">
        <v>1459</v>
      </c>
      <c r="B1027" s="57" t="s">
        <v>916</v>
      </c>
    </row>
    <row r="1028" spans="1:2" ht="14.25" customHeight="1" x14ac:dyDescent="0.2">
      <c r="A1028" s="17">
        <v>1460</v>
      </c>
      <c r="B1028" s="57" t="s">
        <v>1062</v>
      </c>
    </row>
    <row r="1029" spans="1:2" ht="14.25" customHeight="1" x14ac:dyDescent="0.2">
      <c r="A1029" s="17">
        <v>1461</v>
      </c>
      <c r="B1029" s="57" t="s">
        <v>307</v>
      </c>
    </row>
    <row r="1030" spans="1:2" ht="14.25" customHeight="1" x14ac:dyDescent="0.2">
      <c r="A1030" s="19">
        <v>1462</v>
      </c>
      <c r="B1030" s="58" t="s">
        <v>1095</v>
      </c>
    </row>
    <row r="1031" spans="1:2" ht="14.25" customHeight="1" x14ac:dyDescent="0.2">
      <c r="A1031" s="17">
        <v>1464</v>
      </c>
      <c r="B1031" s="57" t="s">
        <v>189</v>
      </c>
    </row>
    <row r="1032" spans="1:2" ht="14.25" customHeight="1" x14ac:dyDescent="0.2">
      <c r="A1032" s="17">
        <v>1468</v>
      </c>
      <c r="B1032" s="57" t="s">
        <v>103</v>
      </c>
    </row>
    <row r="1033" spans="1:2" ht="14.25" customHeight="1" x14ac:dyDescent="0.2">
      <c r="A1033" s="17">
        <v>1469</v>
      </c>
      <c r="B1033" s="57" t="s">
        <v>879</v>
      </c>
    </row>
    <row r="1034" spans="1:2" ht="14.25" customHeight="1" x14ac:dyDescent="0.2">
      <c r="A1034" s="17">
        <v>1471</v>
      </c>
      <c r="B1034" s="57" t="s">
        <v>851</v>
      </c>
    </row>
    <row r="1035" spans="1:2" ht="14.25" customHeight="1" x14ac:dyDescent="0.2">
      <c r="A1035" s="17">
        <v>1473</v>
      </c>
      <c r="B1035" s="57" t="s">
        <v>939</v>
      </c>
    </row>
    <row r="1036" spans="1:2" ht="14.25" customHeight="1" x14ac:dyDescent="0.2">
      <c r="A1036" s="17">
        <v>1475</v>
      </c>
      <c r="B1036" s="57" t="s">
        <v>611</v>
      </c>
    </row>
    <row r="1037" spans="1:2" ht="14.25" customHeight="1" x14ac:dyDescent="0.2">
      <c r="A1037" s="17">
        <v>1484</v>
      </c>
      <c r="B1037" s="57" t="s">
        <v>574</v>
      </c>
    </row>
    <row r="1038" spans="1:2" ht="14.25" customHeight="1" x14ac:dyDescent="0.2">
      <c r="A1038" s="17">
        <v>1488</v>
      </c>
      <c r="B1038" s="57" t="s">
        <v>280</v>
      </c>
    </row>
    <row r="1039" spans="1:2" ht="14.25" customHeight="1" x14ac:dyDescent="0.2">
      <c r="A1039" s="17">
        <v>1490</v>
      </c>
      <c r="B1039" s="57" t="s">
        <v>454</v>
      </c>
    </row>
    <row r="1040" spans="1:2" ht="14.25" customHeight="1" x14ac:dyDescent="0.2">
      <c r="A1040" s="17">
        <v>1491</v>
      </c>
      <c r="B1040" s="57" t="s">
        <v>1056</v>
      </c>
    </row>
    <row r="1041" spans="1:2" ht="14.25" customHeight="1" x14ac:dyDescent="0.2">
      <c r="A1041" s="17">
        <v>1492</v>
      </c>
      <c r="B1041" s="57" t="s">
        <v>469</v>
      </c>
    </row>
    <row r="1042" spans="1:2" ht="14.25" customHeight="1" x14ac:dyDescent="0.2">
      <c r="A1042" s="19">
        <v>1497</v>
      </c>
      <c r="B1042" s="58" t="s">
        <v>1094</v>
      </c>
    </row>
    <row r="1043" spans="1:2" ht="14.25" customHeight="1" x14ac:dyDescent="0.2">
      <c r="A1043" s="17">
        <v>1501</v>
      </c>
      <c r="B1043" s="57" t="s">
        <v>492</v>
      </c>
    </row>
    <row r="1044" spans="1:2" ht="14.25" customHeight="1" x14ac:dyDescent="0.2">
      <c r="A1044" s="17">
        <v>1523</v>
      </c>
      <c r="B1044" s="57" t="s">
        <v>184</v>
      </c>
    </row>
    <row r="1045" spans="1:2" ht="14.25" customHeight="1" x14ac:dyDescent="0.2">
      <c r="A1045" s="19">
        <v>1525</v>
      </c>
      <c r="B1045" s="58" t="s">
        <v>1104</v>
      </c>
    </row>
    <row r="1046" spans="1:2" ht="14.25" customHeight="1" x14ac:dyDescent="0.2">
      <c r="A1046" s="17">
        <v>1534</v>
      </c>
      <c r="B1046" s="57" t="s">
        <v>486</v>
      </c>
    </row>
    <row r="1047" spans="1:2" ht="14.25" customHeight="1" x14ac:dyDescent="0.2">
      <c r="A1047" s="19">
        <v>1536</v>
      </c>
      <c r="B1047" s="58" t="s">
        <v>1040</v>
      </c>
    </row>
    <row r="1048" spans="1:2" ht="14.25" customHeight="1" x14ac:dyDescent="0.2">
      <c r="A1048" s="18">
        <v>1551</v>
      </c>
      <c r="B1048" s="58" t="s">
        <v>1103</v>
      </c>
    </row>
    <row r="1049" spans="1:2" ht="14.25" customHeight="1" x14ac:dyDescent="0.2">
      <c r="A1049" s="18">
        <v>1552</v>
      </c>
      <c r="B1049" s="59" t="s">
        <v>1041</v>
      </c>
    </row>
    <row r="1050" spans="1:2" ht="14.25" customHeight="1" x14ac:dyDescent="0.2">
      <c r="A1050" s="18">
        <v>1561</v>
      </c>
      <c r="B1050" s="58" t="s">
        <v>1105</v>
      </c>
    </row>
    <row r="1051" spans="1:2" ht="14.25" customHeight="1" x14ac:dyDescent="0.2">
      <c r="A1051" s="54">
        <v>1565</v>
      </c>
      <c r="B1051" s="60" t="s">
        <v>1058</v>
      </c>
    </row>
    <row r="1052" spans="1:2" ht="14.25" customHeight="1" x14ac:dyDescent="0.2">
      <c r="A1052" s="18">
        <v>1567</v>
      </c>
      <c r="B1052" s="59" t="s">
        <v>1042</v>
      </c>
    </row>
    <row r="1053" spans="1:2" ht="14.25" customHeight="1" x14ac:dyDescent="0.2">
      <c r="A1053" s="18">
        <v>1569</v>
      </c>
      <c r="B1053" s="59" t="s">
        <v>1039</v>
      </c>
    </row>
    <row r="1054" spans="1:2" ht="14.25" customHeight="1" x14ac:dyDescent="0.2">
      <c r="A1054" s="18">
        <v>1571</v>
      </c>
      <c r="B1054" s="59" t="s">
        <v>1043</v>
      </c>
    </row>
    <row r="1055" spans="1:2" ht="14.25" customHeight="1" x14ac:dyDescent="0.2">
      <c r="A1055" s="18">
        <v>1574</v>
      </c>
      <c r="B1055" s="59" t="s">
        <v>1085</v>
      </c>
    </row>
    <row r="1056" spans="1:2" ht="14.25" customHeight="1" x14ac:dyDescent="0.2">
      <c r="A1056" s="18">
        <v>1575</v>
      </c>
      <c r="B1056" s="61" t="s">
        <v>986</v>
      </c>
    </row>
    <row r="1057" spans="1:2" ht="14.25" customHeight="1" x14ac:dyDescent="0.2">
      <c r="A1057" s="18">
        <v>1577</v>
      </c>
      <c r="B1057" s="59" t="s">
        <v>1045</v>
      </c>
    </row>
    <row r="1058" spans="1:2" ht="14.25" customHeight="1" x14ac:dyDescent="0.2">
      <c r="A1058" s="18">
        <v>1578</v>
      </c>
      <c r="B1058" s="59" t="s">
        <v>1046</v>
      </c>
    </row>
    <row r="1059" spans="1:2" ht="14.25" customHeight="1" x14ac:dyDescent="0.2">
      <c r="A1059" s="54">
        <v>1579</v>
      </c>
      <c r="B1059" s="60" t="s">
        <v>1057</v>
      </c>
    </row>
    <row r="1060" spans="1:2" ht="14.25" customHeight="1" x14ac:dyDescent="0.2">
      <c r="A1060" s="17">
        <v>1581</v>
      </c>
      <c r="B1060" s="62" t="s">
        <v>1054</v>
      </c>
    </row>
    <row r="1061" spans="1:2" ht="14.25" customHeight="1" x14ac:dyDescent="0.2">
      <c r="A1061" s="19">
        <v>1582</v>
      </c>
      <c r="B1061" s="17" t="s">
        <v>1047</v>
      </c>
    </row>
    <row r="1062" spans="1:2" ht="14.25" customHeight="1" x14ac:dyDescent="0.2">
      <c r="A1062" s="19">
        <v>1584</v>
      </c>
      <c r="B1062" s="58" t="s">
        <v>1048</v>
      </c>
    </row>
    <row r="1063" spans="1:2" ht="14.25" customHeight="1" x14ac:dyDescent="0.2">
      <c r="A1063" s="17">
        <v>1590</v>
      </c>
      <c r="B1063" s="57" t="s">
        <v>1049</v>
      </c>
    </row>
    <row r="1064" spans="1:2" ht="14.25" customHeight="1" x14ac:dyDescent="0.2">
      <c r="A1064" s="17">
        <v>1591</v>
      </c>
      <c r="B1064" s="57" t="s">
        <v>1050</v>
      </c>
    </row>
    <row r="1065" spans="1:2" ht="14.25" customHeight="1" x14ac:dyDescent="0.2">
      <c r="A1065" s="17">
        <v>1592</v>
      </c>
      <c r="B1065" s="57" t="s">
        <v>1051</v>
      </c>
    </row>
    <row r="1066" spans="1:2" ht="14.25" customHeight="1" x14ac:dyDescent="0.2">
      <c r="A1066" s="17">
        <v>1593</v>
      </c>
      <c r="B1066" s="57" t="s">
        <v>1053</v>
      </c>
    </row>
    <row r="1067" spans="1:2" ht="14.25" customHeight="1" x14ac:dyDescent="0.2">
      <c r="A1067" s="17">
        <v>1595</v>
      </c>
      <c r="B1067" s="57" t="s">
        <v>1059</v>
      </c>
    </row>
    <row r="1068" spans="1:2" ht="14.25" customHeight="1" x14ac:dyDescent="0.2">
      <c r="A1068" s="17">
        <v>1596</v>
      </c>
      <c r="B1068" s="57" t="s">
        <v>1060</v>
      </c>
    </row>
    <row r="1069" spans="1:2" ht="14.25" customHeight="1" x14ac:dyDescent="0.2">
      <c r="A1069" s="19">
        <v>1597</v>
      </c>
      <c r="B1069" s="57" t="s">
        <v>1067</v>
      </c>
    </row>
    <row r="1070" spans="1:2" ht="14.25" customHeight="1" x14ac:dyDescent="0.2">
      <c r="A1070" s="17">
        <v>1598</v>
      </c>
      <c r="B1070" s="57" t="s">
        <v>1064</v>
      </c>
    </row>
    <row r="1071" spans="1:2" ht="14.25" customHeight="1" x14ac:dyDescent="0.2">
      <c r="A1071" s="17">
        <v>1599</v>
      </c>
      <c r="B1071" s="57" t="s">
        <v>1063</v>
      </c>
    </row>
    <row r="1072" spans="1:2" ht="14.25" customHeight="1" x14ac:dyDescent="0.2">
      <c r="A1072" s="17">
        <v>1600</v>
      </c>
      <c r="B1072" s="57" t="s">
        <v>1061</v>
      </c>
    </row>
    <row r="1073" spans="1:2" ht="14.25" customHeight="1" x14ac:dyDescent="0.2">
      <c r="A1073" s="17">
        <v>1601</v>
      </c>
      <c r="B1073" s="57" t="s">
        <v>1065</v>
      </c>
    </row>
    <row r="1074" spans="1:2" ht="14.25" customHeight="1" x14ac:dyDescent="0.2">
      <c r="A1074" s="19">
        <v>1603</v>
      </c>
      <c r="B1074" s="58" t="s">
        <v>1069</v>
      </c>
    </row>
    <row r="1075" spans="1:2" ht="14.25" customHeight="1" x14ac:dyDescent="0.2">
      <c r="A1075" s="19">
        <v>1604</v>
      </c>
      <c r="B1075" s="58" t="s">
        <v>1072</v>
      </c>
    </row>
    <row r="1076" spans="1:2" ht="14.25" customHeight="1" x14ac:dyDescent="0.2">
      <c r="A1076" s="19">
        <v>1605</v>
      </c>
      <c r="B1076" s="58" t="s">
        <v>1071</v>
      </c>
    </row>
    <row r="1077" spans="1:2" ht="14.25" customHeight="1" x14ac:dyDescent="0.2">
      <c r="A1077" s="19">
        <v>1606</v>
      </c>
      <c r="B1077" s="58" t="s">
        <v>1070</v>
      </c>
    </row>
    <row r="1078" spans="1:2" ht="14.25" customHeight="1" x14ac:dyDescent="0.2">
      <c r="A1078" s="19">
        <v>1608</v>
      </c>
      <c r="B1078" s="58" t="s">
        <v>1073</v>
      </c>
    </row>
    <row r="1079" spans="1:2" ht="14.25" customHeight="1" x14ac:dyDescent="0.2">
      <c r="A1079" s="19">
        <v>1609</v>
      </c>
      <c r="B1079" s="58" t="s">
        <v>1074</v>
      </c>
    </row>
    <row r="1080" spans="1:2" ht="14.25" customHeight="1" x14ac:dyDescent="0.2">
      <c r="A1080" s="19">
        <v>1610</v>
      </c>
      <c r="B1080" s="63" t="s">
        <v>1080</v>
      </c>
    </row>
    <row r="1081" spans="1:2" ht="14.25" customHeight="1" x14ac:dyDescent="0.2">
      <c r="A1081" s="19">
        <v>1612</v>
      </c>
      <c r="B1081" s="58" t="s">
        <v>1076</v>
      </c>
    </row>
    <row r="1082" spans="1:2" ht="14.25" customHeight="1" x14ac:dyDescent="0.2">
      <c r="A1082" s="19">
        <v>1613</v>
      </c>
      <c r="B1082" s="58" t="s">
        <v>1078</v>
      </c>
    </row>
    <row r="1083" spans="1:2" ht="14.25" customHeight="1" x14ac:dyDescent="0.2">
      <c r="A1083" s="19">
        <v>1614</v>
      </c>
      <c r="B1083" s="17" t="s">
        <v>1077</v>
      </c>
    </row>
    <row r="1084" spans="1:2" ht="14.25" customHeight="1" x14ac:dyDescent="0.2">
      <c r="A1084" s="20">
        <v>1616</v>
      </c>
      <c r="B1084" s="64" t="s">
        <v>1079</v>
      </c>
    </row>
    <row r="1085" spans="1:2" s="21" customFormat="1" ht="14.25" customHeight="1" x14ac:dyDescent="0.2">
      <c r="A1085" s="20">
        <v>1617</v>
      </c>
      <c r="B1085" s="64" t="s">
        <v>1081</v>
      </c>
    </row>
    <row r="1086" spans="1:2" s="21" customFormat="1" ht="14.25" customHeight="1" x14ac:dyDescent="0.2">
      <c r="A1086" s="20">
        <v>1618</v>
      </c>
      <c r="B1086" s="64" t="s">
        <v>1088</v>
      </c>
    </row>
    <row r="1087" spans="1:2" s="21" customFormat="1" ht="14.25" customHeight="1" x14ac:dyDescent="0.2">
      <c r="A1087" s="20">
        <v>1619</v>
      </c>
      <c r="B1087" s="64" t="s">
        <v>1082</v>
      </c>
    </row>
    <row r="1088" spans="1:2" s="21" customFormat="1" ht="14.25" customHeight="1" x14ac:dyDescent="0.2">
      <c r="A1088" s="20">
        <v>1620</v>
      </c>
      <c r="B1088" s="64" t="s">
        <v>1087</v>
      </c>
    </row>
    <row r="1089" spans="1:2" s="21" customFormat="1" ht="14.25" customHeight="1" x14ac:dyDescent="0.2">
      <c r="A1089" s="20">
        <v>1621</v>
      </c>
      <c r="B1089" s="64" t="s">
        <v>1084</v>
      </c>
    </row>
    <row r="1090" spans="1:2" s="21" customFormat="1" ht="14.25" customHeight="1" x14ac:dyDescent="0.2">
      <c r="A1090" s="20">
        <v>1622</v>
      </c>
      <c r="B1090" s="64" t="s">
        <v>1086</v>
      </c>
    </row>
    <row r="1091" spans="1:2" s="21" customFormat="1" ht="14.25" customHeight="1" x14ac:dyDescent="0.2">
      <c r="A1091" s="20">
        <v>1623</v>
      </c>
      <c r="B1091" s="64" t="s">
        <v>1091</v>
      </c>
    </row>
    <row r="1092" spans="1:2" s="21" customFormat="1" ht="14.25" customHeight="1" x14ac:dyDescent="0.2">
      <c r="A1092" s="20">
        <v>1625</v>
      </c>
      <c r="B1092" s="64" t="s">
        <v>1089</v>
      </c>
    </row>
    <row r="1093" spans="1:2" s="21" customFormat="1" ht="14.25" customHeight="1" x14ac:dyDescent="0.2">
      <c r="A1093" s="20">
        <v>1626</v>
      </c>
      <c r="B1093" s="64" t="s">
        <v>1092</v>
      </c>
    </row>
    <row r="1094" spans="1:2" s="21" customFormat="1" ht="14.25" customHeight="1" x14ac:dyDescent="0.2">
      <c r="A1094" s="20">
        <v>1627</v>
      </c>
      <c r="B1094" s="64" t="s">
        <v>1093</v>
      </c>
    </row>
    <row r="1095" spans="1:2" s="21" customFormat="1" ht="14.25" customHeight="1" x14ac:dyDescent="0.2">
      <c r="A1095" s="20">
        <v>1628</v>
      </c>
      <c r="B1095" s="64" t="s">
        <v>720</v>
      </c>
    </row>
    <row r="1096" spans="1:2" s="21" customFormat="1" ht="14.25" customHeight="1" x14ac:dyDescent="0.2">
      <c r="A1096" s="20">
        <v>1631</v>
      </c>
      <c r="B1096" s="64" t="s">
        <v>1090</v>
      </c>
    </row>
    <row r="1097" spans="1:2" s="21" customFormat="1" ht="14.25" customHeight="1" x14ac:dyDescent="0.2">
      <c r="A1097" s="20">
        <v>1657</v>
      </c>
      <c r="B1097" s="64" t="s">
        <v>1097</v>
      </c>
    </row>
    <row r="1098" spans="1:2" s="21" customFormat="1" ht="14.25" customHeight="1" x14ac:dyDescent="0.2">
      <c r="A1098" s="20">
        <v>1660</v>
      </c>
      <c r="B1098" s="64" t="s">
        <v>1106</v>
      </c>
    </row>
    <row r="1099" spans="1:2" s="21" customFormat="1" ht="14.25" customHeight="1" x14ac:dyDescent="0.2">
      <c r="A1099" s="20">
        <v>1667</v>
      </c>
      <c r="B1099" s="64" t="s">
        <v>1107</v>
      </c>
    </row>
    <row r="1100" spans="1:2" s="21" customFormat="1" ht="14.25" customHeight="1" x14ac:dyDescent="0.2">
      <c r="A1100" s="20">
        <v>1673</v>
      </c>
      <c r="B1100" s="64" t="s">
        <v>1108</v>
      </c>
    </row>
    <row r="1101" spans="1:2" s="21" customFormat="1" ht="14.25" customHeight="1" x14ac:dyDescent="0.2">
      <c r="A1101" s="20">
        <v>1692</v>
      </c>
      <c r="B1101" s="64" t="s">
        <v>1098</v>
      </c>
    </row>
    <row r="1102" spans="1:2" s="21" customFormat="1" ht="14.25" customHeight="1" x14ac:dyDescent="0.2">
      <c r="A1102" s="20">
        <v>1701</v>
      </c>
      <c r="B1102" s="64" t="s">
        <v>1096</v>
      </c>
    </row>
    <row r="1103" spans="1:2" s="21" customFormat="1" ht="14.25" customHeight="1" x14ac:dyDescent="0.2">
      <c r="A1103" s="20">
        <v>1715</v>
      </c>
      <c r="B1103" s="64" t="s">
        <v>1109</v>
      </c>
    </row>
    <row r="1104" spans="1:2" s="21" customFormat="1" ht="14.25" customHeight="1" x14ac:dyDescent="0.2">
      <c r="A1104" s="20">
        <v>1716</v>
      </c>
      <c r="B1104" s="64" t="s">
        <v>1102</v>
      </c>
    </row>
    <row r="1105" spans="1:2" s="21" customFormat="1" ht="14.25" customHeight="1" x14ac:dyDescent="0.2">
      <c r="A1105" s="20">
        <v>1717</v>
      </c>
      <c r="B1105" s="64" t="s">
        <v>1110</v>
      </c>
    </row>
    <row r="1106" spans="1:2" s="21" customFormat="1" ht="14.25" customHeight="1" x14ac:dyDescent="0.2">
      <c r="A1106" s="19">
        <v>1721</v>
      </c>
      <c r="B1106" s="17" t="s">
        <v>1101</v>
      </c>
    </row>
    <row r="1107" spans="1:2" s="21" customFormat="1" ht="14.25" customHeight="1" x14ac:dyDescent="0.2">
      <c r="A1107" s="19">
        <v>1727</v>
      </c>
      <c r="B1107" s="17" t="s">
        <v>1111</v>
      </c>
    </row>
    <row r="1108" spans="1:2" s="21" customFormat="1" ht="14.25" customHeight="1" x14ac:dyDescent="0.2">
      <c r="A1108" s="19">
        <v>1735</v>
      </c>
      <c r="B1108" s="17" t="s">
        <v>1100</v>
      </c>
    </row>
    <row r="1109" spans="1:2" s="21" customFormat="1" ht="14.25" customHeight="1" x14ac:dyDescent="0.2">
      <c r="A1109" s="19">
        <v>1740</v>
      </c>
      <c r="B1109" s="17" t="s">
        <v>1099</v>
      </c>
    </row>
    <row r="1110" spans="1:2" s="21" customFormat="1" ht="14.25" customHeight="1" x14ac:dyDescent="0.2">
      <c r="A1110" s="19">
        <v>1750</v>
      </c>
      <c r="B1110" s="17" t="s">
        <v>693</v>
      </c>
    </row>
    <row r="1111" spans="1:2" s="21" customFormat="1" ht="14.25" customHeight="1" x14ac:dyDescent="0.2">
      <c r="A1111" s="19">
        <v>1766</v>
      </c>
      <c r="B1111" s="17" t="s">
        <v>1112</v>
      </c>
    </row>
    <row r="1112" spans="1:2" s="21" customFormat="1" ht="14.25" customHeight="1" x14ac:dyDescent="0.2">
      <c r="A1112" s="19">
        <v>1773</v>
      </c>
      <c r="B1112" s="17" t="s">
        <v>1114</v>
      </c>
    </row>
    <row r="1113" spans="1:2" s="21" customFormat="1" ht="14.25" customHeight="1" x14ac:dyDescent="0.2">
      <c r="A1113" s="19">
        <v>1775</v>
      </c>
      <c r="B1113" s="17" t="s">
        <v>1115</v>
      </c>
    </row>
    <row r="1114" spans="1:2" s="21" customFormat="1" ht="14.25" customHeight="1" x14ac:dyDescent="0.2">
      <c r="A1114" s="19">
        <v>1777</v>
      </c>
      <c r="B1114" s="17" t="s">
        <v>1119</v>
      </c>
    </row>
    <row r="1115" spans="1:2" s="21" customFormat="1" ht="14.25" customHeight="1" x14ac:dyDescent="0.2">
      <c r="A1115" s="19">
        <v>1782</v>
      </c>
      <c r="B1115" s="17" t="s">
        <v>1120</v>
      </c>
    </row>
    <row r="1281" spans="9:33" ht="14.25" customHeight="1" x14ac:dyDescent="0.2">
      <c r="I1281">
        <v>0</v>
      </c>
      <c r="L1281" t="s">
        <v>1113</v>
      </c>
      <c r="M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 t="s">
        <v>21</v>
      </c>
    </row>
  </sheetData>
  <sortState xmlns:xlrd2="http://schemas.microsoft.com/office/spreadsheetml/2017/richdata2" ref="A2:B1285">
    <sortCondition ref="A2:A1285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SALIDAS</vt:lpstr>
      <vt:lpstr>Salida</vt:lpstr>
      <vt:lpstr>OrderHeader</vt:lpstr>
      <vt:lpstr>OrderLine</vt:lpstr>
      <vt:lpstr>Clientes</vt:lpstr>
      <vt:lpstr>Salida!pedidos_3_de_julio_2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Manan Saxena</dc:creator>
  <cp:lastModifiedBy>Ceva Logistics</cp:lastModifiedBy>
  <cp:lastPrinted>2013-04-25T20:34:51Z</cp:lastPrinted>
  <dcterms:created xsi:type="dcterms:W3CDTF">2011-04-04T06:00:36Z</dcterms:created>
  <dcterms:modified xsi:type="dcterms:W3CDTF">2018-12-11T13:17:56Z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f86ae265-9e38-45d8-a5a4-b74936635140</vt:lpwstr>
  </property>
</Properties>
</file>